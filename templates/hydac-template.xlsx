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Test" sheetId="1" state="visible" r:id="rId2"/>
    <sheet name="Data Validatio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<sst xmlns="http://schemas.openxmlformats.org/spreadsheetml/2006/main" count="1002" uniqueCount="647">
  <si>
    <t xml:space="preserve">Bottle number</t>
  </si>
  <si>
    <t xml:space="preserve">bottle_number</t>
  </si>
  <si>
    <t xml:space="preserve">Orange cells are calculated - Change as you please. </t>
  </si>
  <si>
    <t xml:space="preserve">Sample No.</t>
  </si>
  <si>
    <t xml:space="preserve">sample_no</t>
  </si>
  <si>
    <t xml:space="preserve">Date</t>
  </si>
  <si>
    <t xml:space="preserve">date</t>
  </si>
  <si>
    <t xml:space="preserve">Asset Reference</t>
  </si>
  <si>
    <t xml:space="preserve">asset_reference</t>
  </si>
  <si>
    <t xml:space="preserve">General</t>
  </si>
  <si>
    <t xml:space="preserve">Analysis Package</t>
  </si>
  <si>
    <t xml:space="preserve">analysis_package</t>
  </si>
  <si>
    <t xml:space="preserve">Reason For Analysis</t>
  </si>
  <si>
    <t xml:space="preserve">reason_analysis</t>
  </si>
  <si>
    <t xml:space="preserve">Appearance</t>
  </si>
  <si>
    <t xml:space="preserve">appearance</t>
  </si>
  <si>
    <t xml:space="preserve">Particle Count - SAE
20 °C</t>
  </si>
  <si>
    <t xml:space="preserve">p/100ml</t>
  </si>
  <si>
    <t xml:space="preserve">4-6µm (c)</t>
  </si>
  <si>
    <t xml:space="preserve">particle_count_sae_room_4</t>
  </si>
  <si>
    <t xml:space="preserve">6-14µm (c)</t>
  </si>
  <si>
    <t xml:space="preserve">particle_count_sae_room_6</t>
  </si>
  <si>
    <t xml:space="preserve">14-21µm (c)</t>
  </si>
  <si>
    <t xml:space="preserve">particle_count_sae_room_14</t>
  </si>
  <si>
    <t xml:space="preserve">21-38µm (c)</t>
  </si>
  <si>
    <t xml:space="preserve">particle_count_sae_room_21</t>
  </si>
  <si>
    <t xml:space="preserve">38-70µm (c)</t>
  </si>
  <si>
    <t xml:space="preserve">particle_count_sae_room_38</t>
  </si>
  <si>
    <t xml:space="preserve">&gt;70µm (c)</t>
  </si>
  <si>
    <t xml:space="preserve">particle_count_sae_room_70</t>
  </si>
  <si>
    <t xml:space="preserve">&gt;4µm (c)</t>
  </si>
  <si>
    <t xml:space="preserve">particle_count_sae_cumulative_room_4</t>
  </si>
  <si>
    <t xml:space="preserve">&gt;6µm (c)</t>
  </si>
  <si>
    <t xml:space="preserve">particle_count_sae_cumulative_room_6</t>
  </si>
  <si>
    <t xml:space="preserve">&gt;14µm (c)</t>
  </si>
  <si>
    <t xml:space="preserve">particle_count_sae_cumulative_room_14</t>
  </si>
  <si>
    <t xml:space="preserve">&gt;21µm (c)</t>
  </si>
  <si>
    <t xml:space="preserve">particle_count_sae_cumulative_room_21</t>
  </si>
  <si>
    <t xml:space="preserve">&gt;38µm (c)</t>
  </si>
  <si>
    <t xml:space="preserve">particle_count_sae_cumulative_room_38</t>
  </si>
  <si>
    <t xml:space="preserve">particle_count_sae_cumulative_room_70</t>
  </si>
  <si>
    <t xml:space="preserve">SAE Class</t>
  </si>
  <si>
    <t xml:space="preserve">&gt;4µm</t>
  </si>
  <si>
    <t xml:space="preserve">particle_count_sae_class_room_4</t>
  </si>
  <si>
    <t xml:space="preserve">&gt;6µm</t>
  </si>
  <si>
    <t xml:space="preserve">particle_count_sae_class_room_6</t>
  </si>
  <si>
    <t xml:space="preserve">&gt;14µm</t>
  </si>
  <si>
    <t xml:space="preserve">particle_count_sae_class_room_14</t>
  </si>
  <si>
    <t xml:space="preserve">&gt;21µm</t>
  </si>
  <si>
    <t xml:space="preserve">particle_count_sae_class_room_21</t>
  </si>
  <si>
    <t xml:space="preserve">&gt;38µm</t>
  </si>
  <si>
    <t xml:space="preserve">particle_count_sae_class_room_38</t>
  </si>
  <si>
    <t xml:space="preserve">&gt;70µm</t>
  </si>
  <si>
    <t xml:space="preserve">particle_count_sae_class_room_70</t>
  </si>
  <si>
    <t xml:space="preserve">SAE Final Class</t>
  </si>
  <si>
    <t xml:space="preserve">particle_count_sae_class_room</t>
  </si>
  <si>
    <t xml:space="preserve">ISO4406</t>
  </si>
  <si>
    <t xml:space="preserve">particle_count_sae_iso_room_4</t>
  </si>
  <si>
    <t xml:space="preserve">particle_count_sae_iso_room_6</t>
  </si>
  <si>
    <t xml:space="preserve">particle_count_sae_iso_room_14</t>
  </si>
  <si>
    <t xml:space="preserve">ISO 4406 - Unclassifiable</t>
  </si>
  <si>
    <t xml:space="preserve">particle_count_sae_iso_room_unclassifiable</t>
  </si>
  <si>
    <t xml:space="preserve">Patch Test</t>
  </si>
  <si>
    <t xml:space="preserve">patch_test_iso_4</t>
  </si>
  <si>
    <t xml:space="preserve">patch_test_iso_6</t>
  </si>
  <si>
    <t xml:space="preserve">patch_test_iso_14</t>
  </si>
  <si>
    <t xml:space="preserve">patch_test_sae_class</t>
  </si>
  <si>
    <t xml:space="preserve">NAS Class</t>
  </si>
  <si>
    <t xml:space="preserve">patch_test_nas_class</t>
  </si>
  <si>
    <t xml:space="preserve">ml</t>
  </si>
  <si>
    <t xml:space="preserve">Fluid volume</t>
  </si>
  <si>
    <t xml:space="preserve">patch_test_fluid_volume</t>
  </si>
  <si>
    <t xml:space="preserve">Types of Particles 
(low, high, raised) </t>
  </si>
  <si>
    <t xml:space="preserve">Black Contamination</t>
  </si>
  <si>
    <t xml:space="preserve">patch_test_particle_black_contamination</t>
  </si>
  <si>
    <t xml:space="preserve">Fibers</t>
  </si>
  <si>
    <t xml:space="preserve">patch_test_particle_fibers</t>
  </si>
  <si>
    <t xml:space="preserve">Metal Content</t>
  </si>
  <si>
    <t xml:space="preserve">patch_test_particle_metal_content</t>
  </si>
  <si>
    <t xml:space="preserve">Varnish</t>
  </si>
  <si>
    <t xml:space="preserve">patch_test_particle_varnish</t>
  </si>
  <si>
    <t xml:space="preserve">Grey Sludge</t>
  </si>
  <si>
    <t xml:space="preserve">patch_test_particle_grey_sludge</t>
  </si>
  <si>
    <t xml:space="preserve">Silicate Residue</t>
  </si>
  <si>
    <t xml:space="preserve">patch_test_particle_silicate_residue</t>
  </si>
  <si>
    <t xml:space="preserve">Organic Debris</t>
  </si>
  <si>
    <t xml:space="preserve">patch_test_particle_organic_debris</t>
  </si>
  <si>
    <t xml:space="preserve">Corroded Metal</t>
  </si>
  <si>
    <t xml:space="preserve">patch_test_particle_corroded_metal</t>
  </si>
  <si>
    <t xml:space="preserve">Resin-like Particles</t>
  </si>
  <si>
    <t xml:space="preserve">patch_test_particle_resin_like_particles</t>
  </si>
  <si>
    <t xml:space="preserve">Non-ferrous Metal</t>
  </si>
  <si>
    <t xml:space="preserve">patch_test_particle_non_ferrous_metal</t>
  </si>
  <si>
    <t xml:space="preserve">Rust</t>
  </si>
  <si>
    <t xml:space="preserve">patch_test_particle_rust</t>
  </si>
  <si>
    <t xml:space="preserve">Elastomer</t>
  </si>
  <si>
    <t xml:space="preserve">patch_test_particle_elastomer</t>
  </si>
  <si>
    <t xml:space="preserve">Plastic</t>
  </si>
  <si>
    <t xml:space="preserve">patch_test_particle_plastic</t>
  </si>
  <si>
    <t xml:space="preserve">Stone / Grit</t>
  </si>
  <si>
    <t xml:space="preserve">patch_test_particle_stone_grit</t>
  </si>
  <si>
    <t xml:space="preserve">Quatz</t>
  </si>
  <si>
    <t xml:space="preserve">patch_test_particle_quartz</t>
  </si>
  <si>
    <t xml:space="preserve">Beige Fine Contamination</t>
  </si>
  <si>
    <t xml:space="preserve">patch_test_particle_beige_contamination</t>
  </si>
  <si>
    <t xml:space="preserve">Particle Count - NAS</t>
  </si>
  <si>
    <t xml:space="preserve">2-5µm</t>
  </si>
  <si>
    <t xml:space="preserve">particle_count_nas_room_2</t>
  </si>
  <si>
    <t xml:space="preserve">5-15µm</t>
  </si>
  <si>
    <t xml:space="preserve">particle_count_nas_room_5</t>
  </si>
  <si>
    <t xml:space="preserve">15-25µm</t>
  </si>
  <si>
    <t xml:space="preserve">particle_count_nas_room_15</t>
  </si>
  <si>
    <t xml:space="preserve">25-50µm</t>
  </si>
  <si>
    <t xml:space="preserve">particle_count_nas_room_25</t>
  </si>
  <si>
    <t xml:space="preserve">50-100µm</t>
  </si>
  <si>
    <t xml:space="preserve">particle_count_nas_room_50</t>
  </si>
  <si>
    <t xml:space="preserve">&gt;100µm</t>
  </si>
  <si>
    <t xml:space="preserve">particle_count_nas_room_100</t>
  </si>
  <si>
    <t xml:space="preserve">&gt;2µm</t>
  </si>
  <si>
    <t xml:space="preserve">particle_count_nas_cumulative_room_2</t>
  </si>
  <si>
    <t xml:space="preserve">&gt;5µm</t>
  </si>
  <si>
    <t xml:space="preserve">particle_count_nas_cumulative_room_5</t>
  </si>
  <si>
    <t xml:space="preserve">&gt;15µm</t>
  </si>
  <si>
    <t xml:space="preserve">particle_count_nas_cumulative_room_15</t>
  </si>
  <si>
    <t xml:space="preserve">&gt;25µm</t>
  </si>
  <si>
    <t xml:space="preserve">particle_count_nas_cumulative_room_25</t>
  </si>
  <si>
    <t xml:space="preserve">&gt;50µm</t>
  </si>
  <si>
    <t xml:space="preserve">particle_count_nas_cumulative_room_50</t>
  </si>
  <si>
    <t xml:space="preserve">particle_count_nas_cumulative_room_100</t>
  </si>
  <si>
    <t xml:space="preserve">particle_count_nas_class_room_2</t>
  </si>
  <si>
    <t xml:space="preserve">particle_count_nas_class_room_5</t>
  </si>
  <si>
    <t xml:space="preserve">particle_count_nas_class_room_15</t>
  </si>
  <si>
    <t xml:space="preserve">particle_count_nas_class_room_25</t>
  </si>
  <si>
    <t xml:space="preserve">particle_count_nas_class_room_50</t>
  </si>
  <si>
    <t xml:space="preserve">particle_count_nas_class_room_100</t>
  </si>
  <si>
    <t xml:space="preserve">Nas Class</t>
  </si>
  <si>
    <t xml:space="preserve">particle_count_nas_class_room</t>
  </si>
  <si>
    <t xml:space="preserve">particle_count_nas_iso_room_2</t>
  </si>
  <si>
    <t xml:space="preserve">particle_count_nas_iso_room_5</t>
  </si>
  <si>
    <t xml:space="preserve">particle_count_nas_iso_room_15</t>
  </si>
  <si>
    <t xml:space="preserve">Water Content</t>
  </si>
  <si>
    <t xml:space="preserve">PPM</t>
  </si>
  <si>
    <t xml:space="preserve">water_content</t>
  </si>
  <si>
    <t xml:space="preserve">%</t>
  </si>
  <si>
    <t xml:space="preserve">Water Content %</t>
  </si>
  <si>
    <t xml:space="preserve">water_content_percent</t>
  </si>
  <si>
    <t xml:space="preserve">Conductivity</t>
  </si>
  <si>
    <t xml:space="preserve">pS/m</t>
  </si>
  <si>
    <t xml:space="preserve">conductivity</t>
  </si>
  <si>
    <t xml:space="preserve">Viscosity</t>
  </si>
  <si>
    <t xml:space="preserve">mm²/s</t>
  </si>
  <si>
    <t xml:space="preserve">Viscosity at 25°C</t>
  </si>
  <si>
    <t xml:space="preserve">viscosity_25_degree</t>
  </si>
  <si>
    <t xml:space="preserve">Viscosity at 40°C</t>
  </si>
  <si>
    <t xml:space="preserve">viscosity_40_degree</t>
  </si>
  <si>
    <t xml:space="preserve">Viscosity at 100°C</t>
  </si>
  <si>
    <t xml:space="preserve">viscosity_100_degree</t>
  </si>
  <si>
    <t xml:space="preserve">Index</t>
  </si>
  <si>
    <t xml:space="preserve">Viscosity Index</t>
  </si>
  <si>
    <t xml:space="preserve">viscosity_index</t>
  </si>
  <si>
    <t xml:space="preserve">Elemental Analysis</t>
  </si>
  <si>
    <t xml:space="preserve">Zinc</t>
  </si>
  <si>
    <t xml:space="preserve">element_analysis_zinc</t>
  </si>
  <si>
    <t xml:space="preserve">Magnesium</t>
  </si>
  <si>
    <t xml:space="preserve">element_analysis_magnesium</t>
  </si>
  <si>
    <t xml:space="preserve">Calcium</t>
  </si>
  <si>
    <t xml:space="preserve">element_analysis_calcium</t>
  </si>
  <si>
    <t xml:space="preserve">Phosphorus</t>
  </si>
  <si>
    <t xml:space="preserve">element_analysis_phosphorus</t>
  </si>
  <si>
    <t xml:space="preserve">Barium</t>
  </si>
  <si>
    <t xml:space="preserve">element_analysis_barium</t>
  </si>
  <si>
    <t xml:space="preserve">Boron</t>
  </si>
  <si>
    <t xml:space="preserve">element_analysis_boron</t>
  </si>
  <si>
    <t xml:space="preserve">Silicon</t>
  </si>
  <si>
    <t xml:space="preserve">element_analysis_silicon</t>
  </si>
  <si>
    <t xml:space="preserve">Sodium</t>
  </si>
  <si>
    <t xml:space="preserve">element_analysis_sodium</t>
  </si>
  <si>
    <t xml:space="preserve">Nickel</t>
  </si>
  <si>
    <t xml:space="preserve">element_analysis_nickel</t>
  </si>
  <si>
    <t xml:space="preserve">Vanadium</t>
  </si>
  <si>
    <t xml:space="preserve">element_analysis_vanadium</t>
  </si>
  <si>
    <t xml:space="preserve">Silver</t>
  </si>
  <si>
    <t xml:space="preserve">element_analysis_silver</t>
  </si>
  <si>
    <t xml:space="preserve">Titanium</t>
  </si>
  <si>
    <t xml:space="preserve">element_analysis_titanium</t>
  </si>
  <si>
    <t xml:space="preserve">Iron</t>
  </si>
  <si>
    <t xml:space="preserve">element_analysis_iron</t>
  </si>
  <si>
    <t xml:space="preserve">Lead</t>
  </si>
  <si>
    <t xml:space="preserve">element_analysis_lead</t>
  </si>
  <si>
    <t xml:space="preserve">Chromium</t>
  </si>
  <si>
    <t xml:space="preserve">element_analysis_chromium</t>
  </si>
  <si>
    <t xml:space="preserve">Aluminium</t>
  </si>
  <si>
    <t xml:space="preserve">element_analysis_aluminium</t>
  </si>
  <si>
    <t xml:space="preserve">Copper</t>
  </si>
  <si>
    <t xml:space="preserve">element_analysis_copper</t>
  </si>
  <si>
    <t xml:space="preserve">Tin</t>
  </si>
  <si>
    <t xml:space="preserve">element_analysis_tin</t>
  </si>
  <si>
    <t xml:space="preserve">Molybdenum</t>
  </si>
  <si>
    <t xml:space="preserve">element_analysis_molybdenum</t>
  </si>
  <si>
    <t xml:space="preserve">Beryllium</t>
  </si>
  <si>
    <t xml:space="preserve">element_analysis_beryllium</t>
  </si>
  <si>
    <t xml:space="preserve">Tungsten</t>
  </si>
  <si>
    <t xml:space="preserve">element_analysis_tungsten</t>
  </si>
  <si>
    <t xml:space="preserve">Cadmium</t>
  </si>
  <si>
    <t xml:space="preserve">element_analysis_cadmium</t>
  </si>
  <si>
    <t xml:space="preserve">Cobalt</t>
  </si>
  <si>
    <t xml:space="preserve">element_analysis_cobalt</t>
  </si>
  <si>
    <t xml:space="preserve">Antimony</t>
  </si>
  <si>
    <t xml:space="preserve">element_analysis_antimony</t>
  </si>
  <si>
    <t xml:space="preserve">Bismuth</t>
  </si>
  <si>
    <t xml:space="preserve">element_analysis_bismuth</t>
  </si>
  <si>
    <t xml:space="preserve">Chlorine</t>
  </si>
  <si>
    <t xml:space="preserve">element_analysis_chlorine</t>
  </si>
  <si>
    <t xml:space="preserve">Lithium</t>
  </si>
  <si>
    <t xml:space="preserve">element_analysis_lithium</t>
  </si>
  <si>
    <t xml:space="preserve">Manganese</t>
  </si>
  <si>
    <t xml:space="preserve">element_analysis_manganese</t>
  </si>
  <si>
    <t xml:space="preserve">Potassium</t>
  </si>
  <si>
    <t xml:space="preserve">element_analysis_potassium</t>
  </si>
  <si>
    <t xml:space="preserve">Sulfur</t>
  </si>
  <si>
    <t xml:space="preserve">element_analysis_sulfur</t>
  </si>
  <si>
    <t xml:space="preserve">Zirconium</t>
  </si>
  <si>
    <t xml:space="preserve">element_analysis_zirconium</t>
  </si>
  <si>
    <t xml:space="preserve">Total Metal Content</t>
  </si>
  <si>
    <t xml:space="preserve">element_analysis_total_metal_content</t>
  </si>
  <si>
    <t xml:space="preserve">Acid / Base Number</t>
  </si>
  <si>
    <t xml:space="preserve">mgKOH/g</t>
  </si>
  <si>
    <t xml:space="preserve">Total Acid Number</t>
  </si>
  <si>
    <t xml:space="preserve">tan</t>
  </si>
  <si>
    <t xml:space="preserve">Total Base Number</t>
  </si>
  <si>
    <t xml:space="preserve">tbn</t>
  </si>
  <si>
    <t xml:space="preserve">MPC</t>
  </si>
  <si>
    <t xml:space="preserve">mpc_index</t>
  </si>
  <si>
    <t xml:space="preserve">g</t>
  </si>
  <si>
    <t xml:space="preserve">Before</t>
  </si>
  <si>
    <t xml:space="preserve">After</t>
  </si>
  <si>
    <t xml:space="preserve">mg/L</t>
  </si>
  <si>
    <t xml:space="preserve">MPC Gravimetric Result</t>
  </si>
  <si>
    <t xml:space="preserve">mpc_gravimetric_result</t>
  </si>
  <si>
    <t xml:space="preserve">MPC A-Value</t>
  </si>
  <si>
    <t xml:space="preserve">mpc_a</t>
  </si>
  <si>
    <t xml:space="preserve">MPC B-Value</t>
  </si>
  <si>
    <t xml:space="preserve">mpc_b</t>
  </si>
  <si>
    <t xml:space="preserve">MPC L-Value</t>
  </si>
  <si>
    <t xml:space="preserve">mpc_l</t>
  </si>
  <si>
    <t xml:space="preserve">Particle Quantity</t>
  </si>
  <si>
    <t xml:space="preserve">PQ Index</t>
  </si>
  <si>
    <t xml:space="preserve">pq</t>
  </si>
  <si>
    <t xml:space="preserve">RULER</t>
  </si>
  <si>
    <t xml:space="preserve">RULER I Base</t>
  </si>
  <si>
    <t xml:space="preserve">ruler_base</t>
  </si>
  <si>
    <t xml:space="preserve">RULER I Sample</t>
  </si>
  <si>
    <t xml:space="preserve">ruler_sample</t>
  </si>
  <si>
    <t xml:space="preserve">RULER I</t>
  </si>
  <si>
    <t xml:space="preserve">ruler_percent</t>
  </si>
  <si>
    <t xml:space="preserve">RULER - Amines</t>
  </si>
  <si>
    <t xml:space="preserve">ruler_amines</t>
  </si>
  <si>
    <t xml:space="preserve">RULER II</t>
  </si>
  <si>
    <t xml:space="preserve">ruler_percent_ii</t>
  </si>
  <si>
    <t xml:space="preserve">RULER - Phenols</t>
  </si>
  <si>
    <t xml:space="preserve">ruler_phenols</t>
  </si>
  <si>
    <t xml:space="preserve">RULER III</t>
  </si>
  <si>
    <t xml:space="preserve">ruler_percent_iii</t>
  </si>
  <si>
    <t xml:space="preserve">Particle Count - SAE 80°C</t>
  </si>
  <si>
    <t xml:space="preserve">4-6µm</t>
  </si>
  <si>
    <t xml:space="preserve">particle_count_sae_eighty_4</t>
  </si>
  <si>
    <t xml:space="preserve">6-14µm</t>
  </si>
  <si>
    <t xml:space="preserve">particle_count_sae_eighty_6</t>
  </si>
  <si>
    <t xml:space="preserve">14-21µm</t>
  </si>
  <si>
    <t xml:space="preserve">particle_count_sae_eighty_14</t>
  </si>
  <si>
    <t xml:space="preserve">21-38µm</t>
  </si>
  <si>
    <t xml:space="preserve">particle_count_sae_eighty_21</t>
  </si>
  <si>
    <t xml:space="preserve">38-70µm</t>
  </si>
  <si>
    <t xml:space="preserve">particle_count_sae_eighty_38</t>
  </si>
  <si>
    <t xml:space="preserve">particle_count_sae_eighty_70</t>
  </si>
  <si>
    <t xml:space="preserve">particle_count_sae_eighty_cumulative_4</t>
  </si>
  <si>
    <t xml:space="preserve">particle_count_sae_eighty_cumulative_6</t>
  </si>
  <si>
    <t xml:space="preserve">particle_count_sae_eighty_cumulative_14</t>
  </si>
  <si>
    <t xml:space="preserve">particle_count_sae_eighty_cumulative_21</t>
  </si>
  <si>
    <t xml:space="preserve">particle_count_sae_eighty_cumulative_38</t>
  </si>
  <si>
    <t xml:space="preserve">particle_count_sae_eighty_cumulative_70</t>
  </si>
  <si>
    <t xml:space="preserve">particle_count_sae_eighty_sae_4</t>
  </si>
  <si>
    <t xml:space="preserve">particle_count_sae_eighty_sae_6</t>
  </si>
  <si>
    <t xml:space="preserve">particle_count_sae_eighty_sae_14</t>
  </si>
  <si>
    <t xml:space="preserve">particle_count_sae_eighty_sae_21</t>
  </si>
  <si>
    <t xml:space="preserve">particle_count_sae_eighty_sae_38</t>
  </si>
  <si>
    <t xml:space="preserve">particle_count_sae_eighty_sae_70</t>
  </si>
  <si>
    <t xml:space="preserve">particle_count_sae_eighty_sae</t>
  </si>
  <si>
    <t xml:space="preserve">particle_count_sae_eighty_iso_4</t>
  </si>
  <si>
    <t xml:space="preserve">particle_count_sae_eighty_iso_6</t>
  </si>
  <si>
    <t xml:space="preserve">particle_count_sae_eighty_iso_14</t>
  </si>
  <si>
    <t xml:space="preserve">Particle Count - NAS 80°C</t>
  </si>
  <si>
    <t xml:space="preserve">particle_count_nas_eighty_2</t>
  </si>
  <si>
    <t xml:space="preserve">particle_count_nas_eighty_5</t>
  </si>
  <si>
    <t xml:space="preserve">particle_count_nas_eighty_15</t>
  </si>
  <si>
    <t xml:space="preserve">particle_count_nas_eighty_25</t>
  </si>
  <si>
    <t xml:space="preserve">particle_count_nas_eighty_50</t>
  </si>
  <si>
    <t xml:space="preserve">particle_count_nas_eighty_100</t>
  </si>
  <si>
    <t xml:space="preserve">particle_count_nas_eighty_cumulative_2</t>
  </si>
  <si>
    <t xml:space="preserve">particle_count_nas_eighty_cumulative_5</t>
  </si>
  <si>
    <t xml:space="preserve">particle_count_nas_eighty_cumulative_15</t>
  </si>
  <si>
    <t xml:space="preserve">particle_count_nas_eighty_cumulative_25</t>
  </si>
  <si>
    <t xml:space="preserve">particle_count_nas_eighty_cumulative_50</t>
  </si>
  <si>
    <t xml:space="preserve">particle_count_nas_eighty_cumulative_100</t>
  </si>
  <si>
    <t xml:space="preserve">particle_count_nas_eighty_nas_2</t>
  </si>
  <si>
    <t xml:space="preserve">particle_count_nas_eighty_nas_5</t>
  </si>
  <si>
    <t xml:space="preserve">particle_count_nas_eighty_nas_15</t>
  </si>
  <si>
    <t xml:space="preserve">particle_count_nas_eighty_nas_25</t>
  </si>
  <si>
    <t xml:space="preserve">particle_count_nas_eighty_nas_50</t>
  </si>
  <si>
    <t xml:space="preserve">particle_count_nas_eighty_nas_100</t>
  </si>
  <si>
    <t xml:space="preserve">particle_count_nas_eighty_nas</t>
  </si>
  <si>
    <t xml:space="preserve">particle_count_nas_eighty_iso_2</t>
  </si>
  <si>
    <t xml:space="preserve">particle_count_nas_eighty_iso_5</t>
  </si>
  <si>
    <t xml:space="preserve">particle_count_nas_eighty_iso_15</t>
  </si>
  <si>
    <t xml:space="preserve">FT-IR</t>
  </si>
  <si>
    <t xml:space="preserve">abs/0.1mm</t>
  </si>
  <si>
    <t xml:space="preserve">Soot</t>
  </si>
  <si>
    <t xml:space="preserve">ftir_soot</t>
  </si>
  <si>
    <t xml:space="preserve">Oxidation</t>
  </si>
  <si>
    <t xml:space="preserve">ftir_oxidation</t>
  </si>
  <si>
    <t xml:space="preserve">abs/cm</t>
  </si>
  <si>
    <t xml:space="preserve">ftir_oxidation_de</t>
  </si>
  <si>
    <t xml:space="preserve">Nitration</t>
  </si>
  <si>
    <t xml:space="preserve">ftir_nitration</t>
  </si>
  <si>
    <t xml:space="preserve">ftir_nitration_de</t>
  </si>
  <si>
    <t xml:space="preserve">Glycol</t>
  </si>
  <si>
    <t xml:space="preserve">ftir_glycol</t>
  </si>
  <si>
    <t xml:space="preserve">Sulphation</t>
  </si>
  <si>
    <t xml:space="preserve">ftir_sulphation</t>
  </si>
  <si>
    <t xml:space="preserve">ftir_sulphation_de</t>
  </si>
  <si>
    <t xml:space="preserve">Diesel Fuel</t>
  </si>
  <si>
    <t xml:space="preserve">ftir_diesel_fuel</t>
  </si>
  <si>
    <t xml:space="preserve">Vol %</t>
  </si>
  <si>
    <t xml:space="preserve">Biodiesel (FAME)</t>
  </si>
  <si>
    <t xml:space="preserve">ftir_fame</t>
  </si>
  <si>
    <t xml:space="preserve">Fuel</t>
  </si>
  <si>
    <t xml:space="preserve">ftir_fuel</t>
  </si>
  <si>
    <t xml:space="preserve">Mass%</t>
  </si>
  <si>
    <t xml:space="preserve">Soot %</t>
  </si>
  <si>
    <t xml:space="preserve">ftir_soot_percent</t>
  </si>
  <si>
    <t xml:space="preserve">Soot Index</t>
  </si>
  <si>
    <t xml:space="preserve">ftir_soot_index</t>
  </si>
  <si>
    <t xml:space="preserve">Vegetable Oil</t>
  </si>
  <si>
    <t xml:space="preserve">ftir_vegetable_oil</t>
  </si>
  <si>
    <t xml:space="preserve">IR-Index</t>
  </si>
  <si>
    <t xml:space="preserve">ftir_index</t>
  </si>
  <si>
    <t xml:space="preserve">Phenolic Antioxidants</t>
  </si>
  <si>
    <t xml:space="preserve">phenolic_antioxidants</t>
  </si>
  <si>
    <t xml:space="preserve">Phenolic Inhibitor</t>
  </si>
  <si>
    <t xml:space="preserve">phenolic_inhibitor</t>
  </si>
  <si>
    <t xml:space="preserve">Colour</t>
  </si>
  <si>
    <t xml:space="preserve">ASTM colour</t>
  </si>
  <si>
    <t xml:space="preserve">astm_colour</t>
  </si>
  <si>
    <t xml:space="preserve">Gravimetric Content</t>
  </si>
  <si>
    <t xml:space="preserve">Filtered Volume</t>
  </si>
  <si>
    <t xml:space="preserve">gravimetric_volume</t>
  </si>
  <si>
    <t xml:space="preserve">Gravimetric Result</t>
  </si>
  <si>
    <t xml:space="preserve">gravimetric_result</t>
  </si>
  <si>
    <t xml:space="preserve">pH</t>
  </si>
  <si>
    <t xml:space="preserve">pH Value</t>
  </si>
  <si>
    <t xml:space="preserve">ph_value</t>
  </si>
  <si>
    <t xml:space="preserve">i-pH Value</t>
  </si>
  <si>
    <t xml:space="preserve">i_ph_value</t>
  </si>
  <si>
    <t xml:space="preserve">Cold Filter Plugging Point</t>
  </si>
  <si>
    <t xml:space="preserve">°C</t>
  </si>
  <si>
    <t xml:space="preserve">CFPP</t>
  </si>
  <si>
    <t xml:space="preserve">cold_filter_plugging_point</t>
  </si>
  <si>
    <t xml:space="preserve">Cloud point</t>
  </si>
  <si>
    <t xml:space="preserve">cloud_point</t>
  </si>
  <si>
    <t xml:space="preserve">Microbiological Contamination</t>
  </si>
  <si>
    <t xml:space="preserve">cfu/ml</t>
  </si>
  <si>
    <t xml:space="preserve">Bacterial Dip Slide</t>
  </si>
  <si>
    <t xml:space="preserve">dip_slide_bacterial</t>
  </si>
  <si>
    <t xml:space="preserve">Yeast Dip Slide</t>
  </si>
  <si>
    <t xml:space="preserve">dip_slide_yeast</t>
  </si>
  <si>
    <t xml:space="preserve">Fungus Dip Slide</t>
  </si>
  <si>
    <t xml:space="preserve">dip_slide_fungus</t>
  </si>
  <si>
    <t xml:space="preserve">Air Release</t>
  </si>
  <si>
    <t xml:space="preserve">min</t>
  </si>
  <si>
    <t xml:space="preserve">air_release</t>
  </si>
  <si>
    <t xml:space="preserve">Glycol Concentration</t>
  </si>
  <si>
    <t xml:space="preserve">%(Vol/Vol)</t>
  </si>
  <si>
    <t xml:space="preserve">glycol_concentration</t>
  </si>
  <si>
    <t xml:space="preserve">Conductivity Coolants</t>
  </si>
  <si>
    <t xml:space="preserve">µS/cm</t>
  </si>
  <si>
    <t xml:space="preserve">conductivity_coolants</t>
  </si>
  <si>
    <t xml:space="preserve">RPVOT</t>
  </si>
  <si>
    <t xml:space="preserve">minutes</t>
  </si>
  <si>
    <t xml:space="preserve">RPVOT Base</t>
  </si>
  <si>
    <t xml:space="preserve">rpvot_base</t>
  </si>
  <si>
    <t xml:space="preserve">minutes </t>
  </si>
  <si>
    <t xml:space="preserve">RPVOT Sample</t>
  </si>
  <si>
    <t xml:space="preserve">rpvot_sample</t>
  </si>
  <si>
    <t xml:space="preserve">rpvot_percent</t>
  </si>
  <si>
    <t xml:space="preserve">Foaming Characteristics</t>
  </si>
  <si>
    <t xml:space="preserve">Foaming Input i</t>
  </si>
  <si>
    <t xml:space="preserve">foaming_characteristics_i</t>
  </si>
  <si>
    <t xml:space="preserve">Foaming Input ii</t>
  </si>
  <si>
    <t xml:space="preserve">foaming_characteristics_ii</t>
  </si>
  <si>
    <t xml:space="preserve">ml/ml</t>
  </si>
  <si>
    <t xml:space="preserve">Foaming Tendency I</t>
  </si>
  <si>
    <t xml:space="preserve">foaming_characteristics_merged</t>
  </si>
  <si>
    <t xml:space="preserve">Foaming Tendency II</t>
  </si>
  <si>
    <t xml:space="preserve">foaming_characteristics_merged_ii</t>
  </si>
  <si>
    <t xml:space="preserve">Foaming Tendency III</t>
  </si>
  <si>
    <t xml:space="preserve">foaming_characteristics_merged_iii</t>
  </si>
  <si>
    <t xml:space="preserve">Resistivity</t>
  </si>
  <si>
    <t xml:space="preserve">MΩ.m</t>
  </si>
  <si>
    <t xml:space="preserve">resistivty</t>
  </si>
  <si>
    <t xml:space="preserve">Demulsibility</t>
  </si>
  <si>
    <t xml:space="preserve">seconds</t>
  </si>
  <si>
    <t xml:space="preserve">demulsibillity</t>
  </si>
  <si>
    <t xml:space="preserve">Water Separation Capacity</t>
  </si>
  <si>
    <t xml:space="preserve">numeric</t>
  </si>
  <si>
    <t xml:space="preserve">Water Seperability</t>
  </si>
  <si>
    <t xml:space="preserve">water_separability</t>
  </si>
  <si>
    <t xml:space="preserve">water_separation_i</t>
  </si>
  <si>
    <t xml:space="preserve">water_separation_ii</t>
  </si>
  <si>
    <t xml:space="preserve">Water Hardness</t>
  </si>
  <si>
    <t xml:space="preserve">°dH</t>
  </si>
  <si>
    <t xml:space="preserve">water_hardness</t>
  </si>
  <si>
    <t xml:space="preserve">mg CaCO3/L</t>
  </si>
  <si>
    <t xml:space="preserve">water_hardness_icp</t>
  </si>
  <si>
    <t xml:space="preserve">Fluorescent Brightness</t>
  </si>
  <si>
    <t xml:space="preserve">fluorescent_brightness</t>
  </si>
  <si>
    <t xml:space="preserve">Flash Point</t>
  </si>
  <si>
    <t xml:space="preserve">Seta Flash Point</t>
  </si>
  <si>
    <t xml:space="preserve">flash_point_seta</t>
  </si>
  <si>
    <t xml:space="preserve">Flash Point (closed cup)</t>
  </si>
  <si>
    <t xml:space="preserve">flash_point_pensky_martens</t>
  </si>
  <si>
    <t xml:space="preserve">Flash Point (open cup)</t>
  </si>
  <si>
    <t xml:space="preserve">flash_point_cleveland</t>
  </si>
  <si>
    <t xml:space="preserve">Gas Chromatography</t>
  </si>
  <si>
    <t xml:space="preserve">mg/kg</t>
  </si>
  <si>
    <t xml:space="preserve">Ethylene Glycol Content </t>
  </si>
  <si>
    <t xml:space="preserve">glycol_content </t>
  </si>
  <si>
    <t xml:space="preserve">% (m)</t>
  </si>
  <si>
    <t xml:space="preserve">Fuel Content</t>
  </si>
  <si>
    <t xml:space="preserve">fuel_content</t>
  </si>
  <si>
    <t xml:space="preserve">ppm</t>
  </si>
  <si>
    <t xml:space="preserve">PCB Content</t>
  </si>
  <si>
    <t xml:space="preserve">pcb_content</t>
  </si>
  <si>
    <t xml:space="preserve">Nitrate/Nitrite</t>
  </si>
  <si>
    <t xml:space="preserve">mg/l</t>
  </si>
  <si>
    <t xml:space="preserve">Nitrate</t>
  </si>
  <si>
    <t xml:space="preserve">nitrate</t>
  </si>
  <si>
    <t xml:space="preserve">Nitrite</t>
  </si>
  <si>
    <t xml:space="preserve">nitrite</t>
  </si>
  <si>
    <t xml:space="preserve">Solid Contaminants</t>
  </si>
  <si>
    <t xml:space="preserve">solid_contaminants</t>
  </si>
  <si>
    <t xml:space="preserve">Sulphate Ash</t>
  </si>
  <si>
    <t xml:space="preserve">% (weight)</t>
  </si>
  <si>
    <t xml:space="preserve">sulphate_ash</t>
  </si>
  <si>
    <t xml:space="preserve">Pour Point</t>
  </si>
  <si>
    <t xml:space="preserve">pour_point</t>
  </si>
  <si>
    <t xml:space="preserve">Penetration</t>
  </si>
  <si>
    <t xml:space="preserve">mm</t>
  </si>
  <si>
    <t xml:space="preserve">Unworked Penetration</t>
  </si>
  <si>
    <t xml:space="preserve">unworked_penetration</t>
  </si>
  <si>
    <t xml:space="preserve">Worked Penetration</t>
  </si>
  <si>
    <t xml:space="preserve">worked_penetration</t>
  </si>
  <si>
    <t xml:space="preserve">Iodine Number</t>
  </si>
  <si>
    <t xml:space="preserve">g I/100 g</t>
  </si>
  <si>
    <t xml:space="preserve">iodine_number</t>
  </si>
  <si>
    <t xml:space="preserve">Density</t>
  </si>
  <si>
    <t xml:space="preserve">kg/m³</t>
  </si>
  <si>
    <t xml:space="preserve">density</t>
  </si>
  <si>
    <t xml:space="preserve">Dispersancy</t>
  </si>
  <si>
    <t xml:space="preserve">dispersancy</t>
  </si>
  <si>
    <t xml:space="preserve">Drop Point</t>
  </si>
  <si>
    <t xml:space="preserve">Drop point</t>
  </si>
  <si>
    <t xml:space="preserve">drop_point</t>
  </si>
  <si>
    <t xml:space="preserve">Conradson Residue</t>
  </si>
  <si>
    <t xml:space="preserve">conradson_residue</t>
  </si>
  <si>
    <t xml:space="preserve">Corrosion Protection (steel)</t>
  </si>
  <si>
    <t xml:space="preserve">Corrosion Protection</t>
  </si>
  <si>
    <t xml:space="preserve">corrosion_protection</t>
  </si>
  <si>
    <t xml:space="preserve">Bleeding test</t>
  </si>
  <si>
    <t xml:space="preserve">Bleeding Test (Oil Loss)</t>
  </si>
  <si>
    <t xml:space="preserve">bleeding_test_oil_loss</t>
  </si>
  <si>
    <t xml:space="preserve">Bleeding Test (Spot)</t>
  </si>
  <si>
    <t xml:space="preserve">bleeding_test_spot</t>
  </si>
  <si>
    <t xml:space="preserve">Brugger test</t>
  </si>
  <si>
    <t xml:space="preserve">N/mm²</t>
  </si>
  <si>
    <t xml:space="preserve">brugger_test</t>
  </si>
  <si>
    <t xml:space="preserve">Anions</t>
  </si>
  <si>
    <t xml:space="preserve">Fluoride</t>
  </si>
  <si>
    <t xml:space="preserve">anions_fluoride</t>
  </si>
  <si>
    <t xml:space="preserve">Bromide</t>
  </si>
  <si>
    <t xml:space="preserve">anions_bromide</t>
  </si>
  <si>
    <t xml:space="preserve">Sulphate</t>
  </si>
  <si>
    <t xml:space="preserve">anions_sulphate</t>
  </si>
  <si>
    <t xml:space="preserve">Chloride</t>
  </si>
  <si>
    <t xml:space="preserve">anions_chloride</t>
  </si>
  <si>
    <t xml:space="preserve">anions_nitrate</t>
  </si>
  <si>
    <t xml:space="preserve">anions_nitrite</t>
  </si>
  <si>
    <t xml:space="preserve">Phosphate</t>
  </si>
  <si>
    <t xml:space="preserve">anions_phosphate</t>
  </si>
  <si>
    <t xml:space="preserve">Adipinate</t>
  </si>
  <si>
    <t xml:space="preserve">anions_adipinate</t>
  </si>
  <si>
    <t xml:space="preserve">Acetate</t>
  </si>
  <si>
    <t xml:space="preserve">anions_acetate</t>
  </si>
  <si>
    <t xml:space="preserve">Glycolate</t>
  </si>
  <si>
    <t xml:space="preserve">anions_glycolate</t>
  </si>
  <si>
    <t xml:space="preserve">Formiate</t>
  </si>
  <si>
    <t xml:space="preserve">anions_formiate</t>
  </si>
  <si>
    <t xml:space="preserve">Oxalate</t>
  </si>
  <si>
    <t xml:space="preserve">anions_oxalate</t>
  </si>
  <si>
    <t xml:space="preserve">Elemental Analysis - Coolants</t>
  </si>
  <si>
    <t xml:space="preserve">elemental_analysis_coolants_calcium</t>
  </si>
  <si>
    <t xml:space="preserve">elemental_analysis_coolants_magnesium</t>
  </si>
  <si>
    <t xml:space="preserve">elemental_analysis_coolants_iron</t>
  </si>
  <si>
    <t xml:space="preserve">Chrome</t>
  </si>
  <si>
    <t xml:space="preserve">elemental_analysis_coolants_chrome</t>
  </si>
  <si>
    <t xml:space="preserve">elemental_analysis_coolants_aluminium</t>
  </si>
  <si>
    <t xml:space="preserve">elemental_analysis_coolants_nickel</t>
  </si>
  <si>
    <t xml:space="preserve">elemental_analysis_coolants_copper</t>
  </si>
  <si>
    <t xml:space="preserve">elemental_analysis_coolants_lead</t>
  </si>
  <si>
    <t xml:space="preserve">elemental_analysis_coolants_zinc</t>
  </si>
  <si>
    <t xml:space="preserve">elemental_analysis_coolants_tin</t>
  </si>
  <si>
    <t xml:space="preserve">elemental_analysis_coolants_sodium</t>
  </si>
  <si>
    <t xml:space="preserve">Phosphorous</t>
  </si>
  <si>
    <t xml:space="preserve">elemental_analysis_coolants_phosphorous</t>
  </si>
  <si>
    <t xml:space="preserve">elemental_analysis_coolants_boron</t>
  </si>
  <si>
    <t xml:space="preserve">elemental_analysis_coolants_potassium</t>
  </si>
  <si>
    <t xml:space="preserve">elemental_analysis_coolants_silicon</t>
  </si>
  <si>
    <t xml:space="preserve">elemental_analysis_coolants_molybdenum</t>
  </si>
  <si>
    <t xml:space="preserve">elemental_analysis_coolants_manganese</t>
  </si>
  <si>
    <t xml:space="preserve">elemental_analysis_coolants_titanium</t>
  </si>
  <si>
    <t xml:space="preserve">elemental_analysis_coolants_vanadium</t>
  </si>
  <si>
    <t xml:space="preserve">elemental_analysis_coolants_silver</t>
  </si>
  <si>
    <t xml:space="preserve">elemental_analysis_coolants_lithium</t>
  </si>
  <si>
    <t xml:space="preserve">mmol/l</t>
  </si>
  <si>
    <t xml:space="preserve">Alkaline earth</t>
  </si>
  <si>
    <t xml:space="preserve">elemental_analysis_coolants_alkaline_earth</t>
  </si>
  <si>
    <t xml:space="preserve">Gravimetric Content - Coolants</t>
  </si>
  <si>
    <t xml:space="preserve">gravimetric_result_coolants</t>
  </si>
  <si>
    <t xml:space="preserve">Solid Contaminants - Coolants</t>
  </si>
  <si>
    <t xml:space="preserve">mg/g</t>
  </si>
  <si>
    <t xml:space="preserve">solid_contaminants_coolants</t>
  </si>
  <si>
    <t xml:space="preserve">Patch Test - Coolants</t>
  </si>
  <si>
    <t xml:space="preserve">p/100 ml</t>
  </si>
  <si>
    <t xml:space="preserve">5≤   x &lt;15</t>
  </si>
  <si>
    <t xml:space="preserve">particle_count_coolant_15</t>
  </si>
  <si>
    <t xml:space="preserve">15≤   x &lt;25</t>
  </si>
  <si>
    <t xml:space="preserve">particle_count_coolant_25</t>
  </si>
  <si>
    <t xml:space="preserve">25≤   x &lt;50</t>
  </si>
  <si>
    <t xml:space="preserve">particle_count_coolant_50</t>
  </si>
  <si>
    <t xml:space="preserve">50≤   x &lt;100</t>
  </si>
  <si>
    <t xml:space="preserve">particle_count_coolant_100</t>
  </si>
  <si>
    <t xml:space="preserve">100≤   x &lt;200</t>
  </si>
  <si>
    <t xml:space="preserve">particle_count_coolant_200</t>
  </si>
  <si>
    <t xml:space="preserve">200≤   x &lt;400</t>
  </si>
  <si>
    <t xml:space="preserve">particle_count_coolant_400</t>
  </si>
  <si>
    <t xml:space="preserve">400≤   x &lt;600</t>
  </si>
  <si>
    <t xml:space="preserve">particle_count_coolant_600</t>
  </si>
  <si>
    <t xml:space="preserve">600≤   x &lt;1000</t>
  </si>
  <si>
    <t xml:space="preserve">particle_count_coolant_1000</t>
  </si>
  <si>
    <t xml:space="preserve">³1000</t>
  </si>
  <si>
    <t xml:space="preserve">particle_count_coolant_3_1000</t>
  </si>
  <si>
    <t xml:space="preserve">Refractometer</t>
  </si>
  <si>
    <t xml:space="preserve">Freezing Point</t>
  </si>
  <si>
    <t xml:space="preserve">freezing_point</t>
  </si>
  <si>
    <t xml:space="preserve">Refractive Index (20 °C)</t>
  </si>
  <si>
    <t xml:space="preserve">refractive_index</t>
  </si>
  <si>
    <t xml:space="preserve">Elemental Analysis - AES</t>
  </si>
  <si>
    <t xml:space="preserve">elemental_analysis_aes_aluminium</t>
  </si>
  <si>
    <t xml:space="preserve">elemental_analysis_aes_chrome</t>
  </si>
  <si>
    <t xml:space="preserve">elemental_analysis_aes_iron</t>
  </si>
  <si>
    <t xml:space="preserve">elemental_analysis_aes_copper</t>
  </si>
  <si>
    <t xml:space="preserve">elemental_analysis_aes_manganese</t>
  </si>
  <si>
    <t xml:space="preserve">elemental_analysis_aes_nickel</t>
  </si>
  <si>
    <t xml:space="preserve">elemental_analysis_aes_lead</t>
  </si>
  <si>
    <t xml:space="preserve">elemental_analysis_aes_tin</t>
  </si>
  <si>
    <t xml:space="preserve">elemental_analysis_aes_silicon</t>
  </si>
  <si>
    <t xml:space="preserve">elemental_analysis_aes_potassium</t>
  </si>
  <si>
    <t xml:space="preserve">elemental_analysis_aes_sodium</t>
  </si>
  <si>
    <t xml:space="preserve">elemental_analysis_aes_titanium</t>
  </si>
  <si>
    <t xml:space="preserve">elemental_analysis_aes_vanadium</t>
  </si>
  <si>
    <t xml:space="preserve">elemental_analysis_aes_calcium</t>
  </si>
  <si>
    <t xml:space="preserve">elemental_analysis_aes_magnesium</t>
  </si>
  <si>
    <t xml:space="preserve">elemental_analysis_aes_boron</t>
  </si>
  <si>
    <t xml:space="preserve">elemental_analysis_aes_zinc</t>
  </si>
  <si>
    <t xml:space="preserve">elemental_analysis_aes_phosphorous</t>
  </si>
  <si>
    <t xml:space="preserve">elemental_analysis_aes_barium</t>
  </si>
  <si>
    <t xml:space="preserve">elemental_analysis_aes_molybdenum</t>
  </si>
  <si>
    <t xml:space="preserve">elemental_analysis_aes_lithium</t>
  </si>
  <si>
    <t xml:space="preserve">Service Measurements</t>
  </si>
  <si>
    <t xml:space="preserve">Bar</t>
  </si>
  <si>
    <t xml:space="preserve">ΔP</t>
  </si>
  <si>
    <t xml:space="preserve">service_measurements_delta_p</t>
  </si>
  <si>
    <t xml:space="preserve">l/min</t>
  </si>
  <si>
    <t xml:space="preserve">Flow</t>
  </si>
  <si>
    <t xml:space="preserve">service_measurements_flow</t>
  </si>
  <si>
    <t xml:space="preserve">liters</t>
  </si>
  <si>
    <t xml:space="preserve">Fuel Pass</t>
  </si>
  <si>
    <t xml:space="preserve">service_measurements_fuel_pass</t>
  </si>
  <si>
    <t xml:space="preserve">service_measurements_fcu_4</t>
  </si>
  <si>
    <t xml:space="preserve">service_measurements_fcu_6</t>
  </si>
  <si>
    <t xml:space="preserve">service_measurements_fcu_14</t>
  </si>
  <si>
    <t xml:space="preserve">ISO Code</t>
  </si>
  <si>
    <t xml:space="preserve">service_measurements_fcu_merged</t>
  </si>
  <si>
    <t xml:space="preserve">Temperature</t>
  </si>
  <si>
    <t xml:space="preserve">service_measurements_fcu_temperature</t>
  </si>
  <si>
    <t xml:space="preserve">%RH</t>
  </si>
  <si>
    <t xml:space="preserve">service_measurements_fcu_water_content</t>
  </si>
  <si>
    <t xml:space="preserve">service_measurements_fcu_before_4</t>
  </si>
  <si>
    <t xml:space="preserve">service_measurements_fcu_before_6</t>
  </si>
  <si>
    <t xml:space="preserve">service_measurements_fcu_before_14</t>
  </si>
  <si>
    <t xml:space="preserve">service_measurements_fcu_before_merged</t>
  </si>
  <si>
    <t xml:space="preserve">service_measurements_fcu_before_temperature</t>
  </si>
  <si>
    <t xml:space="preserve">service_measurements_fcu_before_water_content</t>
  </si>
  <si>
    <t xml:space="preserve">service_measurements_fcu_after_4</t>
  </si>
  <si>
    <t xml:space="preserve">service_measurements_fcu_after_6</t>
  </si>
  <si>
    <t xml:space="preserve">service_measurements_fcu_after_14</t>
  </si>
  <si>
    <t xml:space="preserve">service_measurements_fcu_after_merged</t>
  </si>
  <si>
    <t xml:space="preserve">service_measurements_fcu_after_temprature</t>
  </si>
  <si>
    <t xml:space="preserve">service_measurements_fcu_after_water_content</t>
  </si>
  <si>
    <t xml:space="preserve">Filter Analysis</t>
  </si>
  <si>
    <t xml:space="preserve">mg/cm²</t>
  </si>
  <si>
    <t xml:space="preserve">Dirt load of filter element</t>
  </si>
  <si>
    <t xml:space="preserve">dirt_load_filterelement</t>
  </si>
  <si>
    <t xml:space="preserve">Unclassifiable?</t>
  </si>
  <si>
    <t xml:space="preserve">Types of Particles</t>
  </si>
  <si>
    <t xml:space="preserve">Yes</t>
  </si>
  <si>
    <t xml:space="preserve">Low</t>
  </si>
  <si>
    <t xml:space="preserve">Basic</t>
  </si>
  <si>
    <t xml:space="preserve">Routine</t>
  </si>
  <si>
    <t xml:space="preserve">Raised</t>
  </si>
  <si>
    <t xml:space="preserve">Advanced</t>
  </si>
  <si>
    <t xml:space="preserve">Breakdown</t>
  </si>
  <si>
    <t xml:space="preserve">High</t>
  </si>
  <si>
    <t xml:space="preserve">Premium</t>
  </si>
  <si>
    <t xml:space="preserve">Investigation</t>
  </si>
  <si>
    <t xml:space="preserve">Freemium</t>
  </si>
  <si>
    <t xml:space="preserve">Oil Change</t>
  </si>
  <si>
    <t xml:space="preserve">Gear</t>
  </si>
  <si>
    <t xml:space="preserve">New Oil / Reference</t>
  </si>
  <si>
    <t xml:space="preserve">Turbine Lubrication</t>
  </si>
  <si>
    <t xml:space="preserve">Case Study</t>
  </si>
  <si>
    <t xml:space="preserve">Engine</t>
  </si>
  <si>
    <t xml:space="preserve">Other</t>
  </si>
  <si>
    <t xml:space="preserve">Grease</t>
  </si>
  <si>
    <t xml:space="preserve">FRF I</t>
  </si>
  <si>
    <t xml:space="preserve">FRF II</t>
  </si>
  <si>
    <t xml:space="preserve">Diesel</t>
  </si>
  <si>
    <t xml:space="preserve">Coolant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</si>
</sst>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ptos Narrow"/>
      <family val="2"/>
      <charset val="1"/>
    </font>
    <font>
      <sz val="11"/>
      <color rgb="FF000000"/>
      <name val="Arial"/>
      <family val="2"/>
      <charset val="1"/>
    </font>
    <font>
      <i val="true"/>
      <sz val="11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AA84"/>
        <bgColor rgb="FFF6C6AD"/>
      </patternFill>
    </fill>
    <fill>
      <patternFill patternType="solid">
        <fgColor rgb="FFC1E5F5"/>
        <bgColor rgb="FFCCFFFF"/>
      </patternFill>
    </fill>
    <fill>
      <patternFill patternType="solid">
        <fgColor rgb="FFF6C6AD"/>
        <bgColor rgb="FFF8CBAD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8E8E8"/>
      </patternFill>
    </fill>
    <fill>
      <patternFill patternType="solid">
        <fgColor rgb="FFF8CBAD"/>
        <bgColor rgb="FFF6C6AD"/>
      </patternFill>
    </fill>
  </fills>
  <borders count="61">
    <border diagonalUp="false" diagonalDown="false">
      <left/>
      <right/>
      <top/>
      <bottom/>
      <diagonal/>
    </border>
    <border diagonalUp="false" diagonalDown="false">
      <left style="thin">
        <color rgb="FF0E2841"/>
      </left>
      <right/>
      <top/>
      <bottom/>
      <diagonal/>
    </border>
    <border diagonalUp="false" diagonalDown="false">
      <left style="thin">
        <color rgb="FFB2B2B2"/>
      </left>
      <right style="medium">
        <color rgb="FF0E2841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>
        <color rgb="FFB2B2B2"/>
      </top>
      <bottom style="thin">
        <color rgb="FFB2B2B2"/>
      </bottom>
      <diagonal/>
    </border>
    <border diagonalUp="false" diagonalDown="false">
      <left/>
      <right/>
      <top style="thin">
        <color rgb="FFB2B2B2"/>
      </top>
      <bottom style="thin">
        <color rgb="FFB2B2B2"/>
      </bottom>
      <diagonal/>
    </border>
    <border diagonalUp="false" diagonalDown="false">
      <left style="thin"/>
      <right/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0E2841"/>
      </left>
      <right/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0E2841"/>
      </left>
      <right/>
      <top/>
      <bottom style="thin"/>
      <diagonal/>
    </border>
    <border diagonalUp="false" diagonalDown="false">
      <left/>
      <right/>
      <top style="thin"/>
      <bottom style="thin">
        <color rgb="FF0F9ED5"/>
      </bottom>
      <diagonal/>
    </border>
    <border diagonalUp="false" diagonalDown="false">
      <left style="thin">
        <color rgb="FF0F9ED5"/>
      </left>
      <right style="thin">
        <color rgb="FF0F9ED5"/>
      </right>
      <top style="thin">
        <color rgb="FF0F9ED5"/>
      </top>
      <bottom style="thin">
        <color rgb="FF0F9ED5"/>
      </bottom>
      <diagonal/>
    </border>
    <border diagonalUp="false" diagonalDown="false">
      <left style="thin">
        <color rgb="FF0F9ED5"/>
      </left>
      <right style="thin">
        <color rgb="FF0F9ED5"/>
      </right>
      <top/>
      <bottom style="thin">
        <color rgb="FF0F9ED5"/>
      </bottom>
      <diagonal/>
    </border>
    <border diagonalUp="false" diagonalDown="false">
      <left style="thin">
        <color rgb="FF0F9ED5"/>
      </left>
      <right/>
      <top style="thin">
        <color rgb="FF0F9ED5"/>
      </top>
      <bottom style="thin">
        <color rgb="FF0F9ED5"/>
      </bottom>
      <diagonal/>
    </border>
    <border diagonalUp="false" diagonalDown="false">
      <left/>
      <right style="thin">
        <color rgb="FF0F9ED5"/>
      </right>
      <top/>
      <bottom style="thin">
        <color rgb="FF0F9ED5"/>
      </bottom>
      <diagonal/>
    </border>
    <border diagonalUp="false" diagonalDown="false">
      <left/>
      <right style="thin">
        <color rgb="FF0F9ED5"/>
      </right>
      <top style="thin">
        <color rgb="FF0F9ED5"/>
      </top>
      <bottom style="thin">
        <color rgb="FF0F9ED5"/>
      </bottom>
      <diagonal/>
    </border>
    <border diagonalUp="false" diagonalDown="false">
      <left style="medium"/>
      <right style="medium"/>
      <top style="medium"/>
      <bottom style="thin">
        <color rgb="FF7F7F7F"/>
      </bottom>
      <diagonal/>
    </border>
    <border diagonalUp="false" diagonalDown="false">
      <left style="medium"/>
      <right/>
      <top style="medium"/>
      <bottom style="thin">
        <color rgb="FF7F7F7F"/>
      </bottom>
      <diagonal/>
    </border>
    <border diagonalUp="false" diagonalDown="false">
      <left style="medium"/>
      <right style="medium"/>
      <top style="thin">
        <color rgb="FF7F7F7F"/>
      </top>
      <bottom style="thin">
        <color rgb="FF7F7F7F"/>
      </bottom>
      <diagonal/>
    </border>
    <border diagonalUp="false" diagonalDown="false">
      <left style="medium"/>
      <right/>
      <top style="thin">
        <color rgb="FF7F7F7F"/>
      </top>
      <bottom style="thin">
        <color rgb="FF7F7F7F"/>
      </bottom>
      <diagonal/>
    </border>
    <border diagonalUp="false" diagonalDown="false">
      <left style="medium"/>
      <right style="medium"/>
      <top style="thin">
        <color rgb="FF7F7F7F"/>
      </top>
      <bottom style="medium"/>
      <diagonal/>
    </border>
    <border diagonalUp="false" diagonalDown="false">
      <left style="thin">
        <color rgb="FF0F9ED5"/>
      </left>
      <right style="thin">
        <color rgb="FF0F9ED5"/>
      </right>
      <top style="thin">
        <color rgb="FF0F9ED5"/>
      </top>
      <bottom/>
      <diagonal/>
    </border>
    <border diagonalUp="false" diagonalDown="false">
      <left style="thin">
        <color rgb="FF0F9ED5"/>
      </left>
      <right style="thin">
        <color rgb="FF0F9ED5"/>
      </right>
      <top/>
      <bottom/>
      <diagonal/>
    </border>
    <border diagonalUp="false" diagonalDown="false">
      <left/>
      <right style="thin">
        <color rgb="FF0F9ED5"/>
      </right>
      <top style="thin">
        <color rgb="FF0F9ED5"/>
      </top>
      <bottom/>
      <diagonal/>
    </border>
    <border diagonalUp="false" diagonalDown="false">
      <left/>
      <right/>
      <top style="thin">
        <color rgb="FF0F9ED5"/>
      </top>
      <bottom style="thin">
        <color rgb="FF0F9ED5"/>
      </bottom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0F9ED5"/>
      </top>
      <bottom style="thin">
        <color rgb="FFE8E8E8"/>
      </bottom>
      <diagonal/>
    </border>
    <border diagonalUp="false" diagonalDown="false">
      <left style="thin">
        <color rgb="FFE8E8E8"/>
      </left>
      <right/>
      <top style="thin">
        <color rgb="FF0F9ED5"/>
      </top>
      <bottom style="thin">
        <color rgb="FFE8E8E8"/>
      </bottom>
      <diagonal/>
    </border>
    <border diagonalUp="false" diagonalDown="false">
      <left/>
      <right style="thin">
        <color rgb="FFE8E8E8"/>
      </right>
      <top style="thin">
        <color rgb="FF0F9ED5"/>
      </top>
      <bottom style="thin">
        <color rgb="FFE8E8E8"/>
      </bottom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 diagonalUp="false" diagonalDown="false">
      <left style="thin">
        <color rgb="FFE8E8E8"/>
      </left>
      <right/>
      <top style="thin">
        <color rgb="FFE8E8E8"/>
      </top>
      <bottom style="thin">
        <color rgb="FFE8E8E8"/>
      </bottom>
      <diagonal/>
    </border>
    <border diagonalUp="false" diagonalDown="false">
      <left/>
      <right style="thin">
        <color rgb="FFE8E8E8"/>
      </right>
      <top style="thin">
        <color rgb="FFE8E8E8"/>
      </top>
      <bottom style="thin">
        <color rgb="FFE8E8E8"/>
      </bottom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E8E8E8"/>
      </top>
      <bottom style="thin">
        <color rgb="FF0F9ED5"/>
      </bottom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E8E8E8"/>
      </top>
      <bottom/>
      <diagonal/>
    </border>
    <border diagonalUp="false" diagonalDown="false">
      <left style="thin">
        <color rgb="FFE8E8E8"/>
      </left>
      <right/>
      <top style="thin">
        <color rgb="FFE8E8E8"/>
      </top>
      <bottom/>
      <diagonal/>
    </border>
    <border diagonalUp="false" diagonalDown="false">
      <left/>
      <right style="thin">
        <color rgb="FFE8E8E8"/>
      </right>
      <top style="thin">
        <color rgb="FFE8E8E8"/>
      </top>
      <bottom style="thin">
        <color rgb="FF0F9ED5"/>
      </bottom>
      <diagonal/>
    </border>
    <border diagonalUp="false" diagonalDown="false">
      <left/>
      <right/>
      <top style="thin">
        <color rgb="FFE8E8E8"/>
      </top>
      <bottom style="thin">
        <color rgb="FF0F9ED5"/>
      </bottom>
      <diagonal/>
    </border>
    <border diagonalUp="false" diagonalDown="false">
      <left/>
      <right/>
      <top/>
      <bottom style="thin">
        <color rgb="FF0F9ED5"/>
      </bottom>
      <diagonal/>
    </border>
    <border diagonalUp="false" diagonalDown="false">
      <left style="medium"/>
      <right/>
      <top style="thin">
        <color rgb="FF7F7F7F"/>
      </top>
      <bottom style="medium"/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0F9ED5"/>
      </top>
      <bottom style="thin">
        <color rgb="FF0F9ED5"/>
      </bottom>
      <diagonal/>
    </border>
    <border diagonalUp="false" diagonalDown="false">
      <left style="thin">
        <color rgb="FFE8E8E8"/>
      </left>
      <right/>
      <top style="thin">
        <color rgb="FFE8E8E8"/>
      </top>
      <bottom style="thin">
        <color rgb="FF0F9ED5"/>
      </bottom>
      <diagonal/>
    </border>
    <border diagonalUp="false" diagonalDown="false">
      <left style="thin">
        <color rgb="FF0F9ED5"/>
      </left>
      <right/>
      <top/>
      <bottom/>
      <diagonal/>
    </border>
    <border diagonalUp="false" diagonalDown="false">
      <left/>
      <right style="thin">
        <color rgb="FF0F9ED5"/>
      </right>
      <top/>
      <bottom/>
      <diagonal/>
    </border>
    <border diagonalUp="false" diagonalDown="false">
      <left style="thin">
        <color rgb="FFE8E8E8"/>
      </left>
      <right style="thin">
        <color rgb="FFE8E8E8"/>
      </right>
      <top/>
      <bottom style="thin">
        <color rgb="FFE8E8E8"/>
      </bottom>
      <diagonal/>
    </border>
    <border diagonalUp="false" diagonalDown="false">
      <left style="thin">
        <color rgb="FFE8E8E8"/>
      </left>
      <right/>
      <top/>
      <bottom style="thin">
        <color rgb="FFE8E8E8"/>
      </bottom>
      <diagonal/>
    </border>
    <border diagonalUp="false" diagonalDown="false">
      <left/>
      <right style="thin">
        <color rgb="FFE8E8E8"/>
      </right>
      <top/>
      <bottom style="thin">
        <color rgb="FFE8E8E8"/>
      </bottom>
      <diagonal/>
    </border>
    <border diagonalUp="false" diagonalDown="false">
      <left style="thin">
        <color rgb="FF0F9ED5"/>
      </left>
      <right/>
      <top/>
      <bottom style="thin">
        <color rgb="FF0F9ED5"/>
      </bottom>
      <diagonal/>
    </border>
    <border diagonalUp="false" diagonalDown="false">
      <left style="thin">
        <color rgb="FF0F9ED5"/>
      </left>
      <right/>
      <top style="thin">
        <color rgb="FF0F9ED5"/>
      </top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>
        <color rgb="FFE8E8E8"/>
      </left>
      <right/>
      <top style="thin">
        <color rgb="FF0F9ED5"/>
      </top>
      <bottom style="thin">
        <color rgb="FF0F9ED5"/>
      </bottom>
      <diagonal/>
    </border>
    <border diagonalUp="false" diagonalDown="false">
      <left/>
      <right style="thin">
        <color rgb="FFE8E8E8"/>
      </right>
      <top style="thin">
        <color rgb="FF0F9ED5"/>
      </top>
      <bottom style="thin">
        <color rgb="FF0F9ED5"/>
      </bottom>
      <diagonal/>
    </border>
    <border diagonalUp="false" diagonalDown="false">
      <left style="thin">
        <color rgb="FFE8E8E8"/>
      </left>
      <right style="thin">
        <color rgb="FFE8E8E8"/>
      </right>
      <top/>
      <bottom/>
      <diagonal/>
    </border>
    <border diagonalUp="false" diagonalDown="false">
      <left style="thin">
        <color rgb="FFE8E8E8"/>
      </left>
      <right/>
      <top/>
      <bottom/>
      <diagonal/>
    </border>
    <border diagonalUp="false" diagonalDown="false">
      <left/>
      <right style="thin">
        <color rgb="FFE8E8E8"/>
      </right>
      <top/>
      <bottom/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0F9ED5"/>
      </top>
      <bottom style="thin"/>
      <diagonal/>
    </border>
    <border diagonalUp="false" diagonalDown="false">
      <left style="thin">
        <color rgb="FFE8E8E8"/>
      </left>
      <right/>
      <top style="thin">
        <color rgb="FF0F9ED5"/>
      </top>
      <bottom style="thin"/>
      <diagonal/>
    </border>
    <border diagonalUp="false" diagonalDown="false">
      <left/>
      <right style="thin">
        <color rgb="FFE8E8E8"/>
      </right>
      <top style="thin">
        <color rgb="FF0F9ED5"/>
      </top>
      <bottom style="thin"/>
      <diagonal/>
    </border>
    <border diagonalUp="false" diagonalDown="false">
      <left/>
      <right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5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7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6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8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6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1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5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26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2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7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2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5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3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44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48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2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49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5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7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6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60% - Accent2" xfId="20"/>
    <cellStyle name="Excel Built-in 20% - Accent1" xfId="21"/>
    <cellStyle name="Excel Built-in 40% - Accent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B2B2B2"/>
      <rgbColor rgb="FF7F7F7F"/>
      <rgbColor rgb="FF9999FF"/>
      <rgbColor rgb="FF993366"/>
      <rgbColor rgb="FFF2F2F2"/>
      <rgbColor rgb="FFE8E8E8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6C6AD"/>
      <rgbColor rgb="FF99CCFF"/>
      <rgbColor rgb="FFF2AA84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36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3" topLeftCell="N4" activePane="bottomLeft" state="frozen"/>
      <selection pane="topLeft" activeCell="A1" activeCellId="0" sqref="A1"/>
      <selection pane="bottomLeft" activeCell="E10" activeCellId="0" sqref="E10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29.42"/>
    <col collapsed="false" customWidth="true" hidden="false" outlineLevel="0" max="2" min="2" style="2" width="17.57"/>
    <col collapsed="false" customWidth="true" hidden="false" outlineLevel="0" max="3" min="3" style="0" width="27.72"/>
    <col collapsed="false" customWidth="true" hidden="true" outlineLevel="0" max="4" min="4" style="0" width="45.43"/>
    <col collapsed="false" customWidth="true" hidden="false" outlineLevel="0" max="37" min="5" style="1" width="15.57"/>
    <col collapsed="false" customWidth="true" hidden="false" outlineLevel="0" max="38" min="38" style="3" width="9.14"/>
    <col collapsed="false" customWidth="true" hidden="false" outlineLevel="0" max="43" min="39" style="4" width="9.14"/>
  </cols>
  <sheetData>
    <row r="1" s="13" customFormat="true" ht="12.2" hidden="false" customHeight="true" outlineLevel="0" collapsed="false">
      <c r="A1" s="5"/>
      <c r="B1" s="6"/>
      <c r="C1" s="7" t="s">
        <v>0</v>
      </c>
      <c r="D1" s="8" t="s">
        <v>1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L1" s="11"/>
      <c r="AM1" s="12"/>
      <c r="AN1" s="12"/>
      <c r="AO1" s="12"/>
      <c r="AP1" s="12"/>
      <c r="AQ1" s="12"/>
    </row>
    <row r="2" s="13" customFormat="true" ht="13.8" hidden="false" customHeight="true" outlineLevel="0" collapsed="false">
      <c r="A2" s="5" t="s">
        <v>2</v>
      </c>
      <c r="B2" s="6"/>
      <c r="C2" s="7" t="s">
        <v>3</v>
      </c>
      <c r="D2" s="8" t="s">
        <v>4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10"/>
      <c r="AL2" s="11"/>
      <c r="AM2" s="12"/>
      <c r="AN2" s="12"/>
      <c r="AO2" s="12"/>
      <c r="AP2" s="12"/>
      <c r="AQ2" s="12"/>
    </row>
    <row r="3" customFormat="false" ht="13.8" hidden="false" customHeight="false" outlineLevel="0" collapsed="false">
      <c r="A3" s="5"/>
      <c r="B3" s="14"/>
      <c r="C3" s="15" t="s">
        <v>5</v>
      </c>
      <c r="D3" s="16" t="s">
        <v>6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8"/>
    </row>
    <row r="4" s="26" customFormat="true" ht="13.8" hidden="false" customHeight="false" outlineLevel="0" collapsed="false">
      <c r="A4" s="19"/>
      <c r="B4" s="19"/>
      <c r="C4" s="20" t="s">
        <v>7</v>
      </c>
      <c r="D4" s="21" t="s">
        <v>8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3"/>
      <c r="AL4" s="24"/>
      <c r="AM4" s="25"/>
      <c r="AN4" s="25"/>
      <c r="AO4" s="25"/>
      <c r="AP4" s="25"/>
      <c r="AQ4" s="25"/>
    </row>
    <row r="5" customFormat="false" ht="13.8" hidden="false" customHeight="false" outlineLevel="0" collapsed="false">
      <c r="A5" s="27" t="s">
        <v>9</v>
      </c>
      <c r="C5" s="0" t="s">
        <v>10</v>
      </c>
      <c r="D5" s="0" t="s">
        <v>11</v>
      </c>
    </row>
    <row r="6" customFormat="false" ht="13.8" hidden="false" customHeight="false" outlineLevel="0" collapsed="false">
      <c r="A6" s="27"/>
      <c r="C6" s="0" t="s">
        <v>12</v>
      </c>
      <c r="D6" s="0" t="s">
        <v>13</v>
      </c>
    </row>
    <row r="7" customFormat="false" ht="13.8" hidden="false" customHeight="false" outlineLevel="0" collapsed="false">
      <c r="A7" s="27"/>
      <c r="C7" s="0" t="s">
        <v>14</v>
      </c>
      <c r="D7" s="0" t="s">
        <v>15</v>
      </c>
    </row>
    <row r="8" s="30" customFormat="true" ht="13.8" hidden="false" customHeight="true" outlineLevel="0" collapsed="false">
      <c r="A8" s="28" t="s">
        <v>16</v>
      </c>
      <c r="B8" s="29" t="s">
        <v>17</v>
      </c>
      <c r="C8" s="30" t="s">
        <v>18</v>
      </c>
      <c r="D8" s="30" t="s">
        <v>19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2"/>
      <c r="AL8" s="33"/>
      <c r="AM8" s="34"/>
      <c r="AN8" s="34"/>
      <c r="AO8" s="34"/>
      <c r="AP8" s="34"/>
      <c r="AQ8" s="34"/>
      <c r="AR8" s="35"/>
    </row>
    <row r="9" s="37" customFormat="true" ht="13.8" hidden="false" customHeight="false" outlineLevel="0" collapsed="false">
      <c r="A9" s="28"/>
      <c r="B9" s="36" t="s">
        <v>17</v>
      </c>
      <c r="C9" s="37" t="s">
        <v>20</v>
      </c>
      <c r="D9" s="37" t="s">
        <v>21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9"/>
      <c r="AL9" s="33"/>
      <c r="AM9" s="34"/>
      <c r="AN9" s="34"/>
      <c r="AO9" s="34"/>
      <c r="AP9" s="34"/>
      <c r="AQ9" s="34"/>
      <c r="AR9" s="40"/>
    </row>
    <row r="10" s="37" customFormat="true" ht="13.8" hidden="false" customHeight="false" outlineLevel="0" collapsed="false">
      <c r="A10" s="28"/>
      <c r="B10" s="36" t="s">
        <v>17</v>
      </c>
      <c r="C10" s="37" t="s">
        <v>22</v>
      </c>
      <c r="D10" s="37" t="s">
        <v>23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/>
      <c r="AL10" s="33"/>
      <c r="AM10" s="34"/>
      <c r="AN10" s="34"/>
      <c r="AO10" s="34"/>
      <c r="AP10" s="34"/>
      <c r="AQ10" s="34"/>
      <c r="AR10" s="40"/>
    </row>
    <row r="11" s="37" customFormat="true" ht="13.8" hidden="false" customHeight="false" outlineLevel="0" collapsed="false">
      <c r="A11" s="28"/>
      <c r="B11" s="36" t="s">
        <v>17</v>
      </c>
      <c r="C11" s="37" t="s">
        <v>24</v>
      </c>
      <c r="D11" s="37" t="s">
        <v>25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9"/>
      <c r="AL11" s="33"/>
      <c r="AM11" s="34"/>
      <c r="AN11" s="34"/>
      <c r="AO11" s="34"/>
      <c r="AP11" s="34"/>
      <c r="AQ11" s="34"/>
      <c r="AR11" s="40"/>
    </row>
    <row r="12" s="37" customFormat="true" ht="13.8" hidden="false" customHeight="false" outlineLevel="0" collapsed="false">
      <c r="A12" s="28"/>
      <c r="B12" s="36" t="s">
        <v>17</v>
      </c>
      <c r="C12" s="37" t="s">
        <v>26</v>
      </c>
      <c r="D12" s="37" t="s">
        <v>27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9"/>
      <c r="AL12" s="33"/>
      <c r="AM12" s="34"/>
      <c r="AN12" s="34"/>
      <c r="AO12" s="34"/>
      <c r="AP12" s="34"/>
      <c r="AQ12" s="34"/>
      <c r="AR12" s="40"/>
    </row>
    <row r="13" s="37" customFormat="true" ht="13.8" hidden="false" customHeight="false" outlineLevel="0" collapsed="false">
      <c r="A13" s="28"/>
      <c r="B13" s="36" t="s">
        <v>17</v>
      </c>
      <c r="C13" s="37" t="s">
        <v>28</v>
      </c>
      <c r="D13" s="37" t="s">
        <v>29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9"/>
      <c r="AL13" s="33"/>
      <c r="AM13" s="34"/>
      <c r="AN13" s="34"/>
      <c r="AO13" s="34"/>
      <c r="AP13" s="34"/>
      <c r="AQ13" s="34"/>
      <c r="AR13" s="40"/>
    </row>
    <row r="14" s="37" customFormat="true" ht="13.8" hidden="false" customHeight="false" outlineLevel="0" collapsed="false">
      <c r="A14" s="28"/>
      <c r="B14" s="36" t="s">
        <v>17</v>
      </c>
      <c r="C14" s="37" t="s">
        <v>30</v>
      </c>
      <c r="D14" s="37" t="s">
        <v>31</v>
      </c>
      <c r="E14" s="41" t="str">
        <f aca="false">IF(E8&lt;&gt;"",SUM(E8:E13),"")</f>
        <v/>
      </c>
      <c r="F14" s="41" t="str">
        <f aca="false">IF(F8&lt;&gt;"",SUM(F8:F13),"")</f>
        <v/>
      </c>
      <c r="G14" s="41" t="str">
        <f aca="false">IF(G8&lt;&gt;"",SUM(G8:G13),"")</f>
        <v/>
      </c>
      <c r="H14" s="41" t="str">
        <f aca="false">IF(H8&lt;&gt;"",SUM(H8:H13),"")</f>
        <v/>
      </c>
      <c r="I14" s="41" t="str">
        <f aca="false">IF(I8&lt;&gt;"",SUM(I8:I13),"")</f>
        <v/>
      </c>
      <c r="J14" s="41" t="str">
        <f aca="false">IF(J8&lt;&gt;"",SUM(J8:J13),"")</f>
        <v/>
      </c>
      <c r="K14" s="41" t="str">
        <f aca="false">IF(K8&lt;&gt;"",SUM(K8:K13),"")</f>
        <v/>
      </c>
      <c r="L14" s="41" t="str">
        <f aca="false">IF(L8&lt;&gt;"",SUM(L8:L13),"")</f>
        <v/>
      </c>
      <c r="M14" s="41" t="str">
        <f aca="false">IF(M8&lt;&gt;"",SUM(M8:M13),"")</f>
        <v/>
      </c>
      <c r="N14" s="41" t="str">
        <f aca="false">IF(N8&lt;&gt;"",SUM(N8:N13),"")</f>
        <v/>
      </c>
      <c r="O14" s="41" t="str">
        <f aca="false">IF(O8&lt;&gt;"",SUM(O8:O13),"")</f>
        <v/>
      </c>
      <c r="P14" s="41" t="str">
        <f aca="false">IF(P8&lt;&gt;"",SUM(P8:P13),"")</f>
        <v/>
      </c>
      <c r="Q14" s="41" t="str">
        <f aca="false">IF(Q8&lt;&gt;"",SUM(Q8:Q13),"")</f>
        <v/>
      </c>
      <c r="R14" s="41" t="str">
        <f aca="false">IF(R8&lt;&gt;"",SUM(R8:R13),"")</f>
        <v/>
      </c>
      <c r="S14" s="41" t="str">
        <f aca="false">IF(S8&lt;&gt;"",SUM(S8:S13),"")</f>
        <v/>
      </c>
      <c r="T14" s="41" t="str">
        <f aca="false">IF(T8&lt;&gt;"",SUM(T8:T13),"")</f>
        <v/>
      </c>
      <c r="U14" s="41" t="str">
        <f aca="false">IF(U8&lt;&gt;"",SUM(U8:U13),"")</f>
        <v/>
      </c>
      <c r="V14" s="41" t="str">
        <f aca="false">IF(V8&lt;&gt;"",SUM(V8:V13),"")</f>
        <v/>
      </c>
      <c r="W14" s="41" t="str">
        <f aca="false">IF(W8&lt;&gt;"",SUM(W8:W13),"")</f>
        <v/>
      </c>
      <c r="X14" s="41" t="str">
        <f aca="false">IF(X8&lt;&gt;"",SUM(X8:X13),"")</f>
        <v/>
      </c>
      <c r="Y14" s="41" t="str">
        <f aca="false">IF(Y8&lt;&gt;"",SUM(Y8:Y13),"")</f>
        <v/>
      </c>
      <c r="Z14" s="41" t="str">
        <f aca="false">IF(Z8&lt;&gt;"",SUM(Z8:Z13),"")</f>
        <v/>
      </c>
      <c r="AA14" s="41" t="str">
        <f aca="false">IF(AA8&lt;&gt;"",SUM(AA8:AA13),"")</f>
        <v/>
      </c>
      <c r="AB14" s="41" t="str">
        <f aca="false">IF(AB8&lt;&gt;"",SUM(AB8:AB13),"")</f>
        <v/>
      </c>
      <c r="AC14" s="41" t="str">
        <f aca="false">IF(AC8&lt;&gt;"",SUM(AC8:AC13),"")</f>
        <v/>
      </c>
      <c r="AD14" s="41" t="str">
        <f aca="false">IF(AD8&lt;&gt;"",SUM(AD8:AD13),"")</f>
        <v/>
      </c>
      <c r="AE14" s="41" t="str">
        <f aca="false">IF(AE8&lt;&gt;"",SUM(AE8:AE13),"")</f>
        <v/>
      </c>
      <c r="AF14" s="41" t="str">
        <f aca="false">IF(AF8&lt;&gt;"",SUM(AF8:AF13),"")</f>
        <v/>
      </c>
      <c r="AG14" s="41" t="str">
        <f aca="false">IF(AG8&lt;&gt;"",SUM(AG8:AG13),"")</f>
        <v/>
      </c>
      <c r="AH14" s="41" t="str">
        <f aca="false">IF(AH8&lt;&gt;"",SUM(AH8:AH13),"")</f>
        <v/>
      </c>
      <c r="AI14" s="41" t="str">
        <f aca="false">IF(AI8&lt;&gt;"",SUM(AI8:AI13),"")</f>
        <v/>
      </c>
      <c r="AJ14" s="41" t="str">
        <f aca="false">IF(AJ8&lt;&gt;"",SUM(AJ8:AJ13),"")</f>
        <v/>
      </c>
      <c r="AK14" s="42" t="str">
        <f aca="false">IF(AK8&lt;&gt;"",SUM(AK8:AK13),"")</f>
        <v/>
      </c>
      <c r="AL14" s="33"/>
      <c r="AM14" s="34"/>
      <c r="AN14" s="34"/>
      <c r="AO14" s="34"/>
      <c r="AP14" s="34"/>
      <c r="AQ14" s="34"/>
      <c r="AR14" s="40"/>
    </row>
    <row r="15" s="37" customFormat="true" ht="13.8" hidden="false" customHeight="false" outlineLevel="0" collapsed="false">
      <c r="A15" s="28"/>
      <c r="B15" s="36" t="s">
        <v>17</v>
      </c>
      <c r="C15" s="37" t="s">
        <v>32</v>
      </c>
      <c r="D15" s="37" t="s">
        <v>33</v>
      </c>
      <c r="E15" s="43" t="str">
        <f aca="false">IF(E9&lt;&gt;"",SUM(E9:E13),"")</f>
        <v/>
      </c>
      <c r="F15" s="43" t="str">
        <f aca="false">IF(F9&lt;&gt;"",SUM(F9:F13),"")</f>
        <v/>
      </c>
      <c r="G15" s="43" t="str">
        <f aca="false">IF(G9&lt;&gt;"",SUM(G9:G13),"")</f>
        <v/>
      </c>
      <c r="H15" s="43" t="str">
        <f aca="false">IF(H9&lt;&gt;"",SUM(H9:H13),"")</f>
        <v/>
      </c>
      <c r="I15" s="43" t="str">
        <f aca="false">IF(I9&lt;&gt;"",SUM(I9:I13),"")</f>
        <v/>
      </c>
      <c r="J15" s="43" t="str">
        <f aca="false">IF(J9&lt;&gt;"",SUM(J9:J13),"")</f>
        <v/>
      </c>
      <c r="K15" s="43" t="str">
        <f aca="false">IF(K9&lt;&gt;"",SUM(K9:K13),"")</f>
        <v/>
      </c>
      <c r="L15" s="43" t="str">
        <f aca="false">IF(L9&lt;&gt;"",SUM(L9:L13),"")</f>
        <v/>
      </c>
      <c r="M15" s="43" t="str">
        <f aca="false">IF(M9&lt;&gt;"",SUM(M9:M13),"")</f>
        <v/>
      </c>
      <c r="N15" s="43" t="str">
        <f aca="false">IF(N9&lt;&gt;"",SUM(N9:N13),"")</f>
        <v/>
      </c>
      <c r="O15" s="43" t="str">
        <f aca="false">IF(O9&lt;&gt;"",SUM(O9:O13),"")</f>
        <v/>
      </c>
      <c r="P15" s="43" t="str">
        <f aca="false">IF(P9&lt;&gt;"",SUM(P9:P13),"")</f>
        <v/>
      </c>
      <c r="Q15" s="43" t="str">
        <f aca="false">IF(Q9&lt;&gt;"",SUM(Q9:Q13),"")</f>
        <v/>
      </c>
      <c r="R15" s="43" t="str">
        <f aca="false">IF(R9&lt;&gt;"",SUM(R9:R13),"")</f>
        <v/>
      </c>
      <c r="S15" s="43" t="str">
        <f aca="false">IF(S9&lt;&gt;"",SUM(S9:S13),"")</f>
        <v/>
      </c>
      <c r="T15" s="43" t="str">
        <f aca="false">IF(T9&lt;&gt;"",SUM(T9:T13),"")</f>
        <v/>
      </c>
      <c r="U15" s="43" t="str">
        <f aca="false">IF(U9&lt;&gt;"",SUM(U9:U13),"")</f>
        <v/>
      </c>
      <c r="V15" s="43" t="str">
        <f aca="false">IF(V9&lt;&gt;"",SUM(V9:V13),"")</f>
        <v/>
      </c>
      <c r="W15" s="43" t="str">
        <f aca="false">IF(W9&lt;&gt;"",SUM(W9:W13),"")</f>
        <v/>
      </c>
      <c r="X15" s="43" t="str">
        <f aca="false">IF(X9&lt;&gt;"",SUM(X9:X13),"")</f>
        <v/>
      </c>
      <c r="Y15" s="43" t="str">
        <f aca="false">IF(Y9&lt;&gt;"",SUM(Y9:Y13),"")</f>
        <v/>
      </c>
      <c r="Z15" s="43" t="str">
        <f aca="false">IF(Z9&lt;&gt;"",SUM(Z9:Z13),"")</f>
        <v/>
      </c>
      <c r="AA15" s="43" t="str">
        <f aca="false">IF(AA9&lt;&gt;"",SUM(AA9:AA13),"")</f>
        <v/>
      </c>
      <c r="AB15" s="43" t="str">
        <f aca="false">IF(AB9&lt;&gt;"",SUM(AB9:AB13),"")</f>
        <v/>
      </c>
      <c r="AC15" s="43" t="str">
        <f aca="false">IF(AC9&lt;&gt;"",SUM(AC9:AC13),"")</f>
        <v/>
      </c>
      <c r="AD15" s="43" t="str">
        <f aca="false">IF(AD9&lt;&gt;"",SUM(AD9:AD13),"")</f>
        <v/>
      </c>
      <c r="AE15" s="43" t="str">
        <f aca="false">IF(AE9&lt;&gt;"",SUM(AE9:AE13),"")</f>
        <v/>
      </c>
      <c r="AF15" s="43" t="str">
        <f aca="false">IF(AF9&lt;&gt;"",SUM(AF9:AF13),"")</f>
        <v/>
      </c>
      <c r="AG15" s="43" t="str">
        <f aca="false">IF(AG9&lt;&gt;"",SUM(AG9:AG13),"")</f>
        <v/>
      </c>
      <c r="AH15" s="43" t="str">
        <f aca="false">IF(AH9&lt;&gt;"",SUM(AH9:AH13),"")</f>
        <v/>
      </c>
      <c r="AI15" s="43" t="str">
        <f aca="false">IF(AI9&lt;&gt;"",SUM(AI9:AI13),"")</f>
        <v/>
      </c>
      <c r="AJ15" s="43" t="str">
        <f aca="false">IF(AJ9&lt;&gt;"",SUM(AJ9:AJ13),"")</f>
        <v/>
      </c>
      <c r="AK15" s="44" t="str">
        <f aca="false">IF(AK9&lt;&gt;"",SUM(AK9:AK13),"")</f>
        <v/>
      </c>
      <c r="AL15" s="33"/>
      <c r="AM15" s="34"/>
      <c r="AN15" s="34"/>
      <c r="AO15" s="34"/>
      <c r="AP15" s="34"/>
      <c r="AQ15" s="34"/>
      <c r="AR15" s="40"/>
    </row>
    <row r="16" s="37" customFormat="true" ht="13.8" hidden="false" customHeight="false" outlineLevel="0" collapsed="false">
      <c r="A16" s="28"/>
      <c r="B16" s="36" t="s">
        <v>17</v>
      </c>
      <c r="C16" s="37" t="s">
        <v>34</v>
      </c>
      <c r="D16" s="37" t="s">
        <v>35</v>
      </c>
      <c r="E16" s="43" t="str">
        <f aca="false">IF(E10&lt;&gt;"",SUM(E10:E13),"")</f>
        <v/>
      </c>
      <c r="F16" s="43" t="str">
        <f aca="false">IF(F10&lt;&gt;"",SUM(F10:F13),"")</f>
        <v/>
      </c>
      <c r="G16" s="43" t="str">
        <f aca="false">IF(G10&lt;&gt;"",SUM(G10:G13),"")</f>
        <v/>
      </c>
      <c r="H16" s="43" t="str">
        <f aca="false">IF(H10&lt;&gt;"",SUM(H10:H13),"")</f>
        <v/>
      </c>
      <c r="I16" s="43" t="str">
        <f aca="false">IF(I10&lt;&gt;"",SUM(I10:I13),"")</f>
        <v/>
      </c>
      <c r="J16" s="43" t="str">
        <f aca="false">IF(J10&lt;&gt;"",SUM(J10:J13),"")</f>
        <v/>
      </c>
      <c r="K16" s="43" t="str">
        <f aca="false">IF(K10&lt;&gt;"",SUM(K10:K13),"")</f>
        <v/>
      </c>
      <c r="L16" s="43" t="str">
        <f aca="false">IF(L10&lt;&gt;"",SUM(L10:L13),"")</f>
        <v/>
      </c>
      <c r="M16" s="43" t="str">
        <f aca="false">IF(M10&lt;&gt;"",SUM(M10:M13),"")</f>
        <v/>
      </c>
      <c r="N16" s="43" t="str">
        <f aca="false">IF(N10&lt;&gt;"",SUM(N10:N13),"")</f>
        <v/>
      </c>
      <c r="O16" s="43" t="str">
        <f aca="false">IF(O10&lt;&gt;"",SUM(O10:O13),"")</f>
        <v/>
      </c>
      <c r="P16" s="43" t="str">
        <f aca="false">IF(P10&lt;&gt;"",SUM(P10:P13),"")</f>
        <v/>
      </c>
      <c r="Q16" s="43" t="str">
        <f aca="false">IF(Q10&lt;&gt;"",SUM(Q10:Q13),"")</f>
        <v/>
      </c>
      <c r="R16" s="43" t="str">
        <f aca="false">IF(R10&lt;&gt;"",SUM(R10:R13),"")</f>
        <v/>
      </c>
      <c r="S16" s="43" t="str">
        <f aca="false">IF(S10&lt;&gt;"",SUM(S10:S13),"")</f>
        <v/>
      </c>
      <c r="T16" s="43" t="str">
        <f aca="false">IF(T10&lt;&gt;"",SUM(T10:T13),"")</f>
        <v/>
      </c>
      <c r="U16" s="43" t="str">
        <f aca="false">IF(U10&lt;&gt;"",SUM(U10:U13),"")</f>
        <v/>
      </c>
      <c r="V16" s="43" t="str">
        <f aca="false">IF(V10&lt;&gt;"",SUM(V10:V13),"")</f>
        <v/>
      </c>
      <c r="W16" s="43" t="str">
        <f aca="false">IF(W10&lt;&gt;"",SUM(W10:W13),"")</f>
        <v/>
      </c>
      <c r="X16" s="43" t="str">
        <f aca="false">IF(X10&lt;&gt;"",SUM(X10:X13),"")</f>
        <v/>
      </c>
      <c r="Y16" s="43" t="str">
        <f aca="false">IF(Y10&lt;&gt;"",SUM(Y10:Y13),"")</f>
        <v/>
      </c>
      <c r="Z16" s="43" t="str">
        <f aca="false">IF(Z10&lt;&gt;"",SUM(Z10:Z13),"")</f>
        <v/>
      </c>
      <c r="AA16" s="43" t="str">
        <f aca="false">IF(AA10&lt;&gt;"",SUM(AA10:AA13),"")</f>
        <v/>
      </c>
      <c r="AB16" s="43" t="str">
        <f aca="false">IF(AB10&lt;&gt;"",SUM(AB10:AB13),"")</f>
        <v/>
      </c>
      <c r="AC16" s="43" t="str">
        <f aca="false">IF(AC10&lt;&gt;"",SUM(AC10:AC13),"")</f>
        <v/>
      </c>
      <c r="AD16" s="43" t="str">
        <f aca="false">IF(AD10&lt;&gt;"",SUM(AD10:AD13),"")</f>
        <v/>
      </c>
      <c r="AE16" s="43" t="str">
        <f aca="false">IF(AE10&lt;&gt;"",SUM(AE10:AE13),"")</f>
        <v/>
      </c>
      <c r="AF16" s="43" t="str">
        <f aca="false">IF(AF10&lt;&gt;"",SUM(AF10:AF13),"")</f>
        <v/>
      </c>
      <c r="AG16" s="43" t="str">
        <f aca="false">IF(AG10&lt;&gt;"",SUM(AG10:AG13),"")</f>
        <v/>
      </c>
      <c r="AH16" s="43" t="str">
        <f aca="false">IF(AH10&lt;&gt;"",SUM(AH10:AH13),"")</f>
        <v/>
      </c>
      <c r="AI16" s="43" t="str">
        <f aca="false">IF(AI10&lt;&gt;"",SUM(AI10:AI13),"")</f>
        <v/>
      </c>
      <c r="AJ16" s="43" t="str">
        <f aca="false">IF(AJ10&lt;&gt;"",SUM(AJ10:AJ13),"")</f>
        <v/>
      </c>
      <c r="AK16" s="44" t="str">
        <f aca="false">IF(AK10&lt;&gt;"",SUM(AK10:AK13),"")</f>
        <v/>
      </c>
      <c r="AL16" s="33"/>
      <c r="AM16" s="34"/>
      <c r="AN16" s="34"/>
      <c r="AO16" s="34"/>
      <c r="AP16" s="34"/>
      <c r="AQ16" s="34"/>
      <c r="AR16" s="40"/>
    </row>
    <row r="17" s="37" customFormat="true" ht="13.8" hidden="false" customHeight="false" outlineLevel="0" collapsed="false">
      <c r="A17" s="28"/>
      <c r="B17" s="36" t="s">
        <v>17</v>
      </c>
      <c r="C17" s="37" t="s">
        <v>36</v>
      </c>
      <c r="D17" s="37" t="s">
        <v>37</v>
      </c>
      <c r="E17" s="43" t="str">
        <f aca="false">IF(E11&lt;&gt;"",SUM(E11:E13),"")</f>
        <v/>
      </c>
      <c r="F17" s="43" t="str">
        <f aca="false">IF(F11&lt;&gt;"",SUM(F11:F13),"")</f>
        <v/>
      </c>
      <c r="G17" s="43" t="str">
        <f aca="false">IF(G11&lt;&gt;"",SUM(G11:G13),"")</f>
        <v/>
      </c>
      <c r="H17" s="43" t="str">
        <f aca="false">IF(H11&lt;&gt;"",SUM(H11:H13),"")</f>
        <v/>
      </c>
      <c r="I17" s="43" t="str">
        <f aca="false">IF(I11&lt;&gt;"",SUM(I11:I13),"")</f>
        <v/>
      </c>
      <c r="J17" s="43" t="str">
        <f aca="false">IF(J11&lt;&gt;"",SUM(J11:J13),"")</f>
        <v/>
      </c>
      <c r="K17" s="43" t="str">
        <f aca="false">IF(K11&lt;&gt;"",SUM(K11:K13),"")</f>
        <v/>
      </c>
      <c r="L17" s="43" t="str">
        <f aca="false">IF(L11&lt;&gt;"",SUM(L11:L13),"")</f>
        <v/>
      </c>
      <c r="M17" s="43" t="str">
        <f aca="false">IF(M11&lt;&gt;"",SUM(M11:M13),"")</f>
        <v/>
      </c>
      <c r="N17" s="43" t="str">
        <f aca="false">IF(N11&lt;&gt;"",SUM(N11:N13),"")</f>
        <v/>
      </c>
      <c r="O17" s="43" t="str">
        <f aca="false">IF(O11&lt;&gt;"",SUM(O11:O13),"")</f>
        <v/>
      </c>
      <c r="P17" s="43" t="str">
        <f aca="false">IF(P11&lt;&gt;"",SUM(P11:P13),"")</f>
        <v/>
      </c>
      <c r="Q17" s="43" t="str">
        <f aca="false">IF(Q11&lt;&gt;"",SUM(Q11:Q13),"")</f>
        <v/>
      </c>
      <c r="R17" s="43" t="str">
        <f aca="false">IF(R11&lt;&gt;"",SUM(R11:R13),"")</f>
        <v/>
      </c>
      <c r="S17" s="43" t="str">
        <f aca="false">IF(S11&lt;&gt;"",SUM(S11:S13),"")</f>
        <v/>
      </c>
      <c r="T17" s="43" t="str">
        <f aca="false">IF(T11&lt;&gt;"",SUM(T11:T13),"")</f>
        <v/>
      </c>
      <c r="U17" s="43" t="str">
        <f aca="false">IF(U11&lt;&gt;"",SUM(U11:U13),"")</f>
        <v/>
      </c>
      <c r="V17" s="43" t="str">
        <f aca="false">IF(V11&lt;&gt;"",SUM(V11:V13),"")</f>
        <v/>
      </c>
      <c r="W17" s="43" t="str">
        <f aca="false">IF(W11&lt;&gt;"",SUM(W11:W13),"")</f>
        <v/>
      </c>
      <c r="X17" s="43" t="str">
        <f aca="false">IF(X11&lt;&gt;"",SUM(X11:X13),"")</f>
        <v/>
      </c>
      <c r="Y17" s="43" t="str">
        <f aca="false">IF(Y11&lt;&gt;"",SUM(Y11:Y13),"")</f>
        <v/>
      </c>
      <c r="Z17" s="43" t="str">
        <f aca="false">IF(Z11&lt;&gt;"",SUM(Z11:Z13),"")</f>
        <v/>
      </c>
      <c r="AA17" s="43" t="str">
        <f aca="false">IF(AA11&lt;&gt;"",SUM(AA11:AA13),"")</f>
        <v/>
      </c>
      <c r="AB17" s="43" t="str">
        <f aca="false">IF(AB11&lt;&gt;"",SUM(AB11:AB13),"")</f>
        <v/>
      </c>
      <c r="AC17" s="43" t="str">
        <f aca="false">IF(AC11&lt;&gt;"",SUM(AC11:AC13),"")</f>
        <v/>
      </c>
      <c r="AD17" s="43" t="str">
        <f aca="false">IF(AD11&lt;&gt;"",SUM(AD11:AD13),"")</f>
        <v/>
      </c>
      <c r="AE17" s="43" t="str">
        <f aca="false">IF(AE11&lt;&gt;"",SUM(AE11:AE13),"")</f>
        <v/>
      </c>
      <c r="AF17" s="43" t="str">
        <f aca="false">IF(AF11&lt;&gt;"",SUM(AF11:AF13),"")</f>
        <v/>
      </c>
      <c r="AG17" s="43" t="str">
        <f aca="false">IF(AG11&lt;&gt;"",SUM(AG11:AG13),"")</f>
        <v/>
      </c>
      <c r="AH17" s="43" t="str">
        <f aca="false">IF(AH11&lt;&gt;"",SUM(AH11:AH13),"")</f>
        <v/>
      </c>
      <c r="AI17" s="43" t="str">
        <f aca="false">IF(AI11&lt;&gt;"",SUM(AI11:AI13),"")</f>
        <v/>
      </c>
      <c r="AJ17" s="43" t="str">
        <f aca="false">IF(AJ11&lt;&gt;"",SUM(AJ11:AJ13),"")</f>
        <v/>
      </c>
      <c r="AK17" s="44" t="str">
        <f aca="false">IF(AK11&lt;&gt;"",SUM(AK11:AK13),"")</f>
        <v/>
      </c>
      <c r="AL17" s="33"/>
      <c r="AM17" s="34"/>
      <c r="AN17" s="34"/>
      <c r="AO17" s="34"/>
      <c r="AP17" s="34"/>
      <c r="AQ17" s="34"/>
      <c r="AR17" s="40"/>
    </row>
    <row r="18" s="37" customFormat="true" ht="13.8" hidden="false" customHeight="false" outlineLevel="0" collapsed="false">
      <c r="A18" s="28"/>
      <c r="B18" s="36" t="s">
        <v>17</v>
      </c>
      <c r="C18" s="37" t="s">
        <v>38</v>
      </c>
      <c r="D18" s="37" t="s">
        <v>39</v>
      </c>
      <c r="E18" s="43" t="str">
        <f aca="false">IF(E12&lt;&gt;"",SUM(E12:E13),"")</f>
        <v/>
      </c>
      <c r="F18" s="43" t="str">
        <f aca="false">IF(F12&lt;&gt;"",SUM(F12:F13),"")</f>
        <v/>
      </c>
      <c r="G18" s="43" t="str">
        <f aca="false">IF(G12&lt;&gt;"",SUM(G12:G13),"")</f>
        <v/>
      </c>
      <c r="H18" s="43" t="str">
        <f aca="false">IF(H12&lt;&gt;"",SUM(H12:H13),"")</f>
        <v/>
      </c>
      <c r="I18" s="43" t="str">
        <f aca="false">IF(I12&lt;&gt;"",SUM(I12:I13),"")</f>
        <v/>
      </c>
      <c r="J18" s="43" t="str">
        <f aca="false">IF(J12&lt;&gt;"",SUM(J12:J13),"")</f>
        <v/>
      </c>
      <c r="K18" s="43" t="str">
        <f aca="false">IF(K12&lt;&gt;"",SUM(K12:K13),"")</f>
        <v/>
      </c>
      <c r="L18" s="43" t="str">
        <f aca="false">IF(L12&lt;&gt;"",SUM(L12:L13),"")</f>
        <v/>
      </c>
      <c r="M18" s="43" t="str">
        <f aca="false">IF(M12&lt;&gt;"",SUM(M12:M13),"")</f>
        <v/>
      </c>
      <c r="N18" s="43" t="str">
        <f aca="false">IF(N12&lt;&gt;"",SUM(N12:N13),"")</f>
        <v/>
      </c>
      <c r="O18" s="43" t="str">
        <f aca="false">IF(O12&lt;&gt;"",SUM(O12:O13),"")</f>
        <v/>
      </c>
      <c r="P18" s="43" t="str">
        <f aca="false">IF(P12&lt;&gt;"",SUM(P12:P13),"")</f>
        <v/>
      </c>
      <c r="Q18" s="43" t="str">
        <f aca="false">IF(Q12&lt;&gt;"",SUM(Q12:Q13),"")</f>
        <v/>
      </c>
      <c r="R18" s="43" t="str">
        <f aca="false">IF(R12&lt;&gt;"",SUM(R12:R13),"")</f>
        <v/>
      </c>
      <c r="S18" s="43" t="str">
        <f aca="false">IF(S12&lt;&gt;"",SUM(S12:S13),"")</f>
        <v/>
      </c>
      <c r="T18" s="43" t="str">
        <f aca="false">IF(T12&lt;&gt;"",SUM(T12:T13),"")</f>
        <v/>
      </c>
      <c r="U18" s="43" t="str">
        <f aca="false">IF(U12&lt;&gt;"",SUM(U12:U13),"")</f>
        <v/>
      </c>
      <c r="V18" s="43" t="str">
        <f aca="false">IF(V12&lt;&gt;"",SUM(V12:V13),"")</f>
        <v/>
      </c>
      <c r="W18" s="43" t="str">
        <f aca="false">IF(W12&lt;&gt;"",SUM(W12:W13),"")</f>
        <v/>
      </c>
      <c r="X18" s="43" t="str">
        <f aca="false">IF(X12&lt;&gt;"",SUM(X12:X13),"")</f>
        <v/>
      </c>
      <c r="Y18" s="43" t="str">
        <f aca="false">IF(Y12&lt;&gt;"",SUM(Y12:Y13),"")</f>
        <v/>
      </c>
      <c r="Z18" s="43" t="str">
        <f aca="false">IF(Z12&lt;&gt;"",SUM(Z12:Z13),"")</f>
        <v/>
      </c>
      <c r="AA18" s="43" t="str">
        <f aca="false">IF(AA12&lt;&gt;"",SUM(AA12:AA13),"")</f>
        <v/>
      </c>
      <c r="AB18" s="43" t="str">
        <f aca="false">IF(AB12&lt;&gt;"",SUM(AB12:AB13),"")</f>
        <v/>
      </c>
      <c r="AC18" s="43" t="str">
        <f aca="false">IF(AC12&lt;&gt;"",SUM(AC12:AC13),"")</f>
        <v/>
      </c>
      <c r="AD18" s="43" t="str">
        <f aca="false">IF(AD12&lt;&gt;"",SUM(AD12:AD13),"")</f>
        <v/>
      </c>
      <c r="AE18" s="43" t="str">
        <f aca="false">IF(AE12&lt;&gt;"",SUM(AE12:AE13),"")</f>
        <v/>
      </c>
      <c r="AF18" s="43" t="str">
        <f aca="false">IF(AF12&lt;&gt;"",SUM(AF12:AF13),"")</f>
        <v/>
      </c>
      <c r="AG18" s="43" t="str">
        <f aca="false">IF(AG12&lt;&gt;"",SUM(AG12:AG13),"")</f>
        <v/>
      </c>
      <c r="AH18" s="43" t="str">
        <f aca="false">IF(AH12&lt;&gt;"",SUM(AH12:AH13),"")</f>
        <v/>
      </c>
      <c r="AI18" s="43" t="str">
        <f aca="false">IF(AI12&lt;&gt;"",SUM(AI12:AI13),"")</f>
        <v/>
      </c>
      <c r="AJ18" s="43" t="str">
        <f aca="false">IF(AJ12&lt;&gt;"",SUM(AJ12:AJ13),"")</f>
        <v/>
      </c>
      <c r="AK18" s="44" t="str">
        <f aca="false">IF(AK12&lt;&gt;"",SUM(AK12:AK13),"")</f>
        <v/>
      </c>
      <c r="AL18" s="33"/>
      <c r="AM18" s="34"/>
      <c r="AN18" s="34"/>
      <c r="AO18" s="34"/>
      <c r="AP18" s="34"/>
      <c r="AQ18" s="34"/>
      <c r="AR18" s="40"/>
    </row>
    <row r="19" s="37" customFormat="true" ht="13.8" hidden="false" customHeight="false" outlineLevel="0" collapsed="false">
      <c r="A19" s="28"/>
      <c r="B19" s="36" t="s">
        <v>17</v>
      </c>
      <c r="C19" s="37" t="s">
        <v>28</v>
      </c>
      <c r="D19" s="37" t="s">
        <v>40</v>
      </c>
      <c r="E19" s="43" t="str">
        <f aca="false">IF(E13&lt;&gt;"",E13,"")</f>
        <v/>
      </c>
      <c r="F19" s="43" t="str">
        <f aca="false">IF(F13&lt;&gt;"",F13,"")</f>
        <v/>
      </c>
      <c r="G19" s="43" t="str">
        <f aca="false">IF(G13&lt;&gt;"",G13,"")</f>
        <v/>
      </c>
      <c r="H19" s="43" t="str">
        <f aca="false">IF(H13&lt;&gt;"",H13,"")</f>
        <v/>
      </c>
      <c r="I19" s="43" t="str">
        <f aca="false">IF(I13&lt;&gt;"",I13,"")</f>
        <v/>
      </c>
      <c r="J19" s="43" t="str">
        <f aca="false">IF(J13&lt;&gt;"",J13,"")</f>
        <v/>
      </c>
      <c r="K19" s="43" t="str">
        <f aca="false">IF(K13&lt;&gt;"",K13,"")</f>
        <v/>
      </c>
      <c r="L19" s="43" t="str">
        <f aca="false">IF(L13&lt;&gt;"",L13,"")</f>
        <v/>
      </c>
      <c r="M19" s="43" t="str">
        <f aca="false">IF(M13&lt;&gt;"",M13,"")</f>
        <v/>
      </c>
      <c r="N19" s="43" t="str">
        <f aca="false">IF(N13&lt;&gt;"",N13,"")</f>
        <v/>
      </c>
      <c r="O19" s="43" t="str">
        <f aca="false">IF(O13&lt;&gt;"",O13,"")</f>
        <v/>
      </c>
      <c r="P19" s="43" t="str">
        <f aca="false">IF(P13&lt;&gt;"",P13,"")</f>
        <v/>
      </c>
      <c r="Q19" s="43" t="str">
        <f aca="false">IF(Q13&lt;&gt;"",Q13,"")</f>
        <v/>
      </c>
      <c r="R19" s="43" t="str">
        <f aca="false">IF(R13&lt;&gt;"",R13,"")</f>
        <v/>
      </c>
      <c r="S19" s="43" t="str">
        <f aca="false">IF(S13&lt;&gt;"",S13,"")</f>
        <v/>
      </c>
      <c r="T19" s="43" t="str">
        <f aca="false">IF(T13&lt;&gt;"",T13,"")</f>
        <v/>
      </c>
      <c r="U19" s="43" t="str">
        <f aca="false">IF(U13&lt;&gt;"",U13,"")</f>
        <v/>
      </c>
      <c r="V19" s="43" t="str">
        <f aca="false">IF(V13&lt;&gt;"",V13,"")</f>
        <v/>
      </c>
      <c r="W19" s="43" t="str">
        <f aca="false">IF(W13&lt;&gt;"",W13,"")</f>
        <v/>
      </c>
      <c r="X19" s="43" t="str">
        <f aca="false">IF(X13&lt;&gt;"",X13,"")</f>
        <v/>
      </c>
      <c r="Y19" s="43" t="str">
        <f aca="false">IF(Y13&lt;&gt;"",Y13,"")</f>
        <v/>
      </c>
      <c r="Z19" s="43" t="str">
        <f aca="false">IF(Z13&lt;&gt;"",Z13,"")</f>
        <v/>
      </c>
      <c r="AA19" s="43" t="str">
        <f aca="false">IF(AA13&lt;&gt;"",AA13,"")</f>
        <v/>
      </c>
      <c r="AB19" s="43" t="str">
        <f aca="false">IF(AB13&lt;&gt;"",AB13,"")</f>
        <v/>
      </c>
      <c r="AC19" s="43" t="str">
        <f aca="false">IF(AC13&lt;&gt;"",AC13,"")</f>
        <v/>
      </c>
      <c r="AD19" s="43" t="str">
        <f aca="false">IF(AD13&lt;&gt;"",AD13,"")</f>
        <v/>
      </c>
      <c r="AE19" s="43" t="str">
        <f aca="false">IF(AE13&lt;&gt;"",AE13,"")</f>
        <v/>
      </c>
      <c r="AF19" s="43" t="str">
        <f aca="false">IF(AF13&lt;&gt;"",AF13,"")</f>
        <v/>
      </c>
      <c r="AG19" s="43" t="str">
        <f aca="false">IF(AG13&lt;&gt;"",AG13,"")</f>
        <v/>
      </c>
      <c r="AH19" s="43" t="str">
        <f aca="false">IF(AH13&lt;&gt;"",AH13,"")</f>
        <v/>
      </c>
      <c r="AI19" s="43" t="str">
        <f aca="false">IF(AI13&lt;&gt;"",AI13,"")</f>
        <v/>
      </c>
      <c r="AJ19" s="43" t="str">
        <f aca="false">IF(AJ13&lt;&gt;"",AJ13,"")</f>
        <v/>
      </c>
      <c r="AK19" s="44" t="str">
        <f aca="false">IF(AK13&lt;&gt;"",AK13,"")</f>
        <v/>
      </c>
      <c r="AL19" s="33"/>
      <c r="AM19" s="34"/>
      <c r="AN19" s="34"/>
      <c r="AO19" s="34"/>
      <c r="AP19" s="34"/>
      <c r="AQ19" s="34"/>
      <c r="AR19" s="40"/>
    </row>
    <row r="20" s="37" customFormat="true" ht="13.8" hidden="false" customHeight="false" outlineLevel="0" collapsed="false">
      <c r="A20" s="28"/>
      <c r="B20" s="36" t="s">
        <v>41</v>
      </c>
      <c r="C20" s="37" t="s">
        <v>42</v>
      </c>
      <c r="D20" s="37" t="s">
        <v>43</v>
      </c>
      <c r="E20" s="43" t="str">
        <f aca="false">IF(E14&lt;&gt;"",IF(E14&gt;12800000,15,IF(E14&gt;6400000,14,IF(E14&gt;3200000,13,IF(E14&gt;1600000,12,IF(E14&gt;800000,11,IF(E14&gt;400000,10,IF(E14&gt;200000,9,IF(E14&gt;100000,8,IF(E14&gt;50000,7,IF(E14&gt;25000,6,IF(E14&gt;12500,5,IF(E14&gt;6250,4,IF(E14&gt;3120,3,IF(E14&gt;1560,2,IF(E14&gt;780,1,IF(E14=0,0)))))))))))))))),"")</f>
        <v/>
      </c>
      <c r="F20" s="43" t="str">
        <f aca="false">IF(F14&lt;&gt;"",IF(F14&gt;12800000,15,IF(F14&gt;6400000,14,IF(F14&gt;3200000,13,IF(F14&gt;1600000,12,IF(F14&gt;800000,11,IF(F14&gt;400000,10,IF(F14&gt;200000,9,IF(F14&gt;100000,8,IF(F14&gt;50000,7,IF(F14&gt;25000,6,IF(F14&gt;12500,5,IF(F14&gt;6250,4,IF(F14&gt;3120,3,IF(F14&gt;1560,2,IF(F14&gt;780,1,IF(F14=0,0)))))))))))))))),"")</f>
        <v/>
      </c>
      <c r="G20" s="43" t="str">
        <f aca="false">IF(G14&lt;&gt;"",IF(G14&gt;12800000,15,IF(G14&gt;6400000,14,IF(G14&gt;3200000,13,IF(G14&gt;1600000,12,IF(G14&gt;800000,11,IF(G14&gt;400000,10,IF(G14&gt;200000,9,IF(G14&gt;100000,8,IF(G14&gt;50000,7,IF(G14&gt;25000,6,IF(G14&gt;12500,5,IF(G14&gt;6250,4,IF(G14&gt;3120,3,IF(G14&gt;1560,2,IF(G14&gt;780,1,IF(G14=0,0)))))))))))))))),"")</f>
        <v/>
      </c>
      <c r="H20" s="43" t="str">
        <f aca="false">IF(H14&lt;&gt;"",IF(H14&gt;12800000,15,IF(H14&gt;6400000,14,IF(H14&gt;3200000,13,IF(H14&gt;1600000,12,IF(H14&gt;800000,11,IF(H14&gt;400000,10,IF(H14&gt;200000,9,IF(H14&gt;100000,8,IF(H14&gt;50000,7,IF(H14&gt;25000,6,IF(H14&gt;12500,5,IF(H14&gt;6250,4,IF(H14&gt;3120,3,IF(H14&gt;1560,2,IF(H14&gt;780,1,IF(H14=0,0)))))))))))))))),"")</f>
        <v/>
      </c>
      <c r="I20" s="43" t="str">
        <f aca="false">IF(I14&lt;&gt;"",IF(I14&gt;12800000,15,IF(I14&gt;6400000,14,IF(I14&gt;3200000,13,IF(I14&gt;1600000,12,IF(I14&gt;800000,11,IF(I14&gt;400000,10,IF(I14&gt;200000,9,IF(I14&gt;100000,8,IF(I14&gt;50000,7,IF(I14&gt;25000,6,IF(I14&gt;12500,5,IF(I14&gt;6250,4,IF(I14&gt;3120,3,IF(I14&gt;1560,2,IF(I14&gt;780,1,IF(I14=0,0)))))))))))))))),"")</f>
        <v/>
      </c>
      <c r="J20" s="43" t="str">
        <f aca="false">IF(J14&lt;&gt;"",IF(J14&gt;12800000,15,IF(J14&gt;6400000,14,IF(J14&gt;3200000,13,IF(J14&gt;1600000,12,IF(J14&gt;800000,11,IF(J14&gt;400000,10,IF(J14&gt;200000,9,IF(J14&gt;100000,8,IF(J14&gt;50000,7,IF(J14&gt;25000,6,IF(J14&gt;12500,5,IF(J14&gt;6250,4,IF(J14&gt;3120,3,IF(J14&gt;1560,2,IF(J14&gt;780,1,IF(J14=0,0)))))))))))))))),"")</f>
        <v/>
      </c>
      <c r="K20" s="43" t="str">
        <f aca="false">IF(K14&lt;&gt;"",IF(K14&gt;12800000,15,IF(K14&gt;6400000,14,IF(K14&gt;3200000,13,IF(K14&gt;1600000,12,IF(K14&gt;800000,11,IF(K14&gt;400000,10,IF(K14&gt;200000,9,IF(K14&gt;100000,8,IF(K14&gt;50000,7,IF(K14&gt;25000,6,IF(K14&gt;12500,5,IF(K14&gt;6250,4,IF(K14&gt;3120,3,IF(K14&gt;1560,2,IF(K14&gt;780,1,IF(K14=0,0)))))))))))))))),"")</f>
        <v/>
      </c>
      <c r="L20" s="43" t="str">
        <f aca="false">IF(L14&lt;&gt;"",IF(L14&gt;12800000,15,IF(L14&gt;6400000,14,IF(L14&gt;3200000,13,IF(L14&gt;1600000,12,IF(L14&gt;800000,11,IF(L14&gt;400000,10,IF(L14&gt;200000,9,IF(L14&gt;100000,8,IF(L14&gt;50000,7,IF(L14&gt;25000,6,IF(L14&gt;12500,5,IF(L14&gt;6250,4,IF(L14&gt;3120,3,IF(L14&gt;1560,2,IF(L14&gt;780,1,IF(L14=0,0)))))))))))))))),"")</f>
        <v/>
      </c>
      <c r="M20" s="43" t="str">
        <f aca="false">IF(M14&lt;&gt;"",IF(M14&gt;12800000,15,IF(M14&gt;6400000,14,IF(M14&gt;3200000,13,IF(M14&gt;1600000,12,IF(M14&gt;800000,11,IF(M14&gt;400000,10,IF(M14&gt;200000,9,IF(M14&gt;100000,8,IF(M14&gt;50000,7,IF(M14&gt;25000,6,IF(M14&gt;12500,5,IF(M14&gt;6250,4,IF(M14&gt;3120,3,IF(M14&gt;1560,2,IF(M14&gt;780,1,IF(M14=0,0)))))))))))))))),"")</f>
        <v/>
      </c>
      <c r="N20" s="43" t="str">
        <f aca="false">IF(N14&lt;&gt;"",IF(N14&gt;12800000,15,IF(N14&gt;6400000,14,IF(N14&gt;3200000,13,IF(N14&gt;1600000,12,IF(N14&gt;800000,11,IF(N14&gt;400000,10,IF(N14&gt;200000,9,IF(N14&gt;100000,8,IF(N14&gt;50000,7,IF(N14&gt;25000,6,IF(N14&gt;12500,5,IF(N14&gt;6250,4,IF(N14&gt;3120,3,IF(N14&gt;1560,2,IF(N14&gt;780,1,IF(N14=0,0)))))))))))))))),"")</f>
        <v/>
      </c>
      <c r="O20" s="43" t="str">
        <f aca="false">IF(O14&lt;&gt;"",IF(O14&gt;12800000,15,IF(O14&gt;6400000,14,IF(O14&gt;3200000,13,IF(O14&gt;1600000,12,IF(O14&gt;800000,11,IF(O14&gt;400000,10,IF(O14&gt;200000,9,IF(O14&gt;100000,8,IF(O14&gt;50000,7,IF(O14&gt;25000,6,IF(O14&gt;12500,5,IF(O14&gt;6250,4,IF(O14&gt;3120,3,IF(O14&gt;1560,2,IF(O14&gt;780,1,IF(O14=0,0)))))))))))))))),"")</f>
        <v/>
      </c>
      <c r="P20" s="43" t="str">
        <f aca="false">IF(P14&lt;&gt;"",IF(P14&gt;12800000,15,IF(P14&gt;6400000,14,IF(P14&gt;3200000,13,IF(P14&gt;1600000,12,IF(P14&gt;800000,11,IF(P14&gt;400000,10,IF(P14&gt;200000,9,IF(P14&gt;100000,8,IF(P14&gt;50000,7,IF(P14&gt;25000,6,IF(P14&gt;12500,5,IF(P14&gt;6250,4,IF(P14&gt;3120,3,IF(P14&gt;1560,2,IF(P14&gt;780,1,IF(P14=0,0)))))))))))))))),"")</f>
        <v/>
      </c>
      <c r="Q20" s="43" t="str">
        <f aca="false">IF(Q14&lt;&gt;"",IF(Q14&gt;12800000,15,IF(Q14&gt;6400000,14,IF(Q14&gt;3200000,13,IF(Q14&gt;1600000,12,IF(Q14&gt;800000,11,IF(Q14&gt;400000,10,IF(Q14&gt;200000,9,IF(Q14&gt;100000,8,IF(Q14&gt;50000,7,IF(Q14&gt;25000,6,IF(Q14&gt;12500,5,IF(Q14&gt;6250,4,IF(Q14&gt;3120,3,IF(Q14&gt;1560,2,IF(Q14&gt;780,1,IF(Q14=0,0)))))))))))))))),"")</f>
        <v/>
      </c>
      <c r="R20" s="43" t="str">
        <f aca="false">IF(R14&lt;&gt;"",IF(R14&gt;12800000,15,IF(R14&gt;6400000,14,IF(R14&gt;3200000,13,IF(R14&gt;1600000,12,IF(R14&gt;800000,11,IF(R14&gt;400000,10,IF(R14&gt;200000,9,IF(R14&gt;100000,8,IF(R14&gt;50000,7,IF(R14&gt;25000,6,IF(R14&gt;12500,5,IF(R14&gt;6250,4,IF(R14&gt;3120,3,IF(R14&gt;1560,2,IF(R14&gt;780,1,IF(R14=0,0)))))))))))))))),"")</f>
        <v/>
      </c>
      <c r="S20" s="43" t="str">
        <f aca="false">IF(S14&lt;&gt;"",IF(S14&gt;12800000,15,IF(S14&gt;6400000,14,IF(S14&gt;3200000,13,IF(S14&gt;1600000,12,IF(S14&gt;800000,11,IF(S14&gt;400000,10,IF(S14&gt;200000,9,IF(S14&gt;100000,8,IF(S14&gt;50000,7,IF(S14&gt;25000,6,IF(S14&gt;12500,5,IF(S14&gt;6250,4,IF(S14&gt;3120,3,IF(S14&gt;1560,2,IF(S14&gt;780,1,IF(S14=0,0)))))))))))))))),"")</f>
        <v/>
      </c>
      <c r="T20" s="43" t="str">
        <f aca="false">IF(T14&lt;&gt;"",IF(T14&gt;12800000,15,IF(T14&gt;6400000,14,IF(T14&gt;3200000,13,IF(T14&gt;1600000,12,IF(T14&gt;800000,11,IF(T14&gt;400000,10,IF(T14&gt;200000,9,IF(T14&gt;100000,8,IF(T14&gt;50000,7,IF(T14&gt;25000,6,IF(T14&gt;12500,5,IF(T14&gt;6250,4,IF(T14&gt;3120,3,IF(T14&gt;1560,2,IF(T14&gt;780,1,IF(T14=0,0)))))))))))))))),"")</f>
        <v/>
      </c>
      <c r="U20" s="43" t="str">
        <f aca="false">IF(U14&lt;&gt;"",IF(U14&gt;12800000,15,IF(U14&gt;6400000,14,IF(U14&gt;3200000,13,IF(U14&gt;1600000,12,IF(U14&gt;800000,11,IF(U14&gt;400000,10,IF(U14&gt;200000,9,IF(U14&gt;100000,8,IF(U14&gt;50000,7,IF(U14&gt;25000,6,IF(U14&gt;12500,5,IF(U14&gt;6250,4,IF(U14&gt;3120,3,IF(U14&gt;1560,2,IF(U14&gt;780,1,IF(U14=0,0)))))))))))))))),"")</f>
        <v/>
      </c>
      <c r="V20" s="43" t="str">
        <f aca="false">IF(V14&lt;&gt;"",IF(V14&gt;12800000,15,IF(V14&gt;6400000,14,IF(V14&gt;3200000,13,IF(V14&gt;1600000,12,IF(V14&gt;800000,11,IF(V14&gt;400000,10,IF(V14&gt;200000,9,IF(V14&gt;100000,8,IF(V14&gt;50000,7,IF(V14&gt;25000,6,IF(V14&gt;12500,5,IF(V14&gt;6250,4,IF(V14&gt;3120,3,IF(V14&gt;1560,2,IF(V14&gt;780,1,IF(V14=0,0)))))))))))))))),"")</f>
        <v/>
      </c>
      <c r="W20" s="43" t="str">
        <f aca="false">IF(W14&lt;&gt;"",IF(W14&gt;12800000,15,IF(W14&gt;6400000,14,IF(W14&gt;3200000,13,IF(W14&gt;1600000,12,IF(W14&gt;800000,11,IF(W14&gt;400000,10,IF(W14&gt;200000,9,IF(W14&gt;100000,8,IF(W14&gt;50000,7,IF(W14&gt;25000,6,IF(W14&gt;12500,5,IF(W14&gt;6250,4,IF(W14&gt;3120,3,IF(W14&gt;1560,2,IF(W14&gt;780,1,IF(W14=0,0)))))))))))))))),"")</f>
        <v/>
      </c>
      <c r="X20" s="43" t="str">
        <f aca="false">IF(X14&lt;&gt;"",IF(X14&gt;12800000,15,IF(X14&gt;6400000,14,IF(X14&gt;3200000,13,IF(X14&gt;1600000,12,IF(X14&gt;800000,11,IF(X14&gt;400000,10,IF(X14&gt;200000,9,IF(X14&gt;100000,8,IF(X14&gt;50000,7,IF(X14&gt;25000,6,IF(X14&gt;12500,5,IF(X14&gt;6250,4,IF(X14&gt;3120,3,IF(X14&gt;1560,2,IF(X14&gt;780,1,IF(X14=0,0)))))))))))))))),"")</f>
        <v/>
      </c>
      <c r="Y20" s="43" t="str">
        <f aca="false">IF(Y14&lt;&gt;"",IF(Y14&gt;12800000,15,IF(Y14&gt;6400000,14,IF(Y14&gt;3200000,13,IF(Y14&gt;1600000,12,IF(Y14&gt;800000,11,IF(Y14&gt;400000,10,IF(Y14&gt;200000,9,IF(Y14&gt;100000,8,IF(Y14&gt;50000,7,IF(Y14&gt;25000,6,IF(Y14&gt;12500,5,IF(Y14&gt;6250,4,IF(Y14&gt;3120,3,IF(Y14&gt;1560,2,IF(Y14&gt;780,1,IF(Y14=0,0)))))))))))))))),"")</f>
        <v/>
      </c>
      <c r="Z20" s="43" t="str">
        <f aca="false">IF(Z14&lt;&gt;"",IF(Z14&gt;12800000,15,IF(Z14&gt;6400000,14,IF(Z14&gt;3200000,13,IF(Z14&gt;1600000,12,IF(Z14&gt;800000,11,IF(Z14&gt;400000,10,IF(Z14&gt;200000,9,IF(Z14&gt;100000,8,IF(Z14&gt;50000,7,IF(Z14&gt;25000,6,IF(Z14&gt;12500,5,IF(Z14&gt;6250,4,IF(Z14&gt;3120,3,IF(Z14&gt;1560,2,IF(Z14&gt;780,1,IF(Z14=0,0)))))))))))))))),"")</f>
        <v/>
      </c>
      <c r="AA20" s="43" t="str">
        <f aca="false">IF(AA14&lt;&gt;"",IF(AA14&gt;12800000,15,IF(AA14&gt;6400000,14,IF(AA14&gt;3200000,13,IF(AA14&gt;1600000,12,IF(AA14&gt;800000,11,IF(AA14&gt;400000,10,IF(AA14&gt;200000,9,IF(AA14&gt;100000,8,IF(AA14&gt;50000,7,IF(AA14&gt;25000,6,IF(AA14&gt;12500,5,IF(AA14&gt;6250,4,IF(AA14&gt;3120,3,IF(AA14&gt;1560,2,IF(AA14&gt;780,1,IF(AA14=0,0)))))))))))))))),"")</f>
        <v/>
      </c>
      <c r="AB20" s="43" t="str">
        <f aca="false">IF(AB14&lt;&gt;"",IF(AB14&gt;12800000,15,IF(AB14&gt;6400000,14,IF(AB14&gt;3200000,13,IF(AB14&gt;1600000,12,IF(AB14&gt;800000,11,IF(AB14&gt;400000,10,IF(AB14&gt;200000,9,IF(AB14&gt;100000,8,IF(AB14&gt;50000,7,IF(AB14&gt;25000,6,IF(AB14&gt;12500,5,IF(AB14&gt;6250,4,IF(AB14&gt;3120,3,IF(AB14&gt;1560,2,IF(AB14&gt;780,1,IF(AB14=0,0)))))))))))))))),"")</f>
        <v/>
      </c>
      <c r="AC20" s="43" t="str">
        <f aca="false">IF(AC14&lt;&gt;"",IF(AC14&gt;12800000,15,IF(AC14&gt;6400000,14,IF(AC14&gt;3200000,13,IF(AC14&gt;1600000,12,IF(AC14&gt;800000,11,IF(AC14&gt;400000,10,IF(AC14&gt;200000,9,IF(AC14&gt;100000,8,IF(AC14&gt;50000,7,IF(AC14&gt;25000,6,IF(AC14&gt;12500,5,IF(AC14&gt;6250,4,IF(AC14&gt;3120,3,IF(AC14&gt;1560,2,IF(AC14&gt;780,1,IF(AC14=0,0)))))))))))))))),"")</f>
        <v/>
      </c>
      <c r="AD20" s="43" t="str">
        <f aca="false">IF(AD14&lt;&gt;"",IF(AD14&gt;12800000,15,IF(AD14&gt;6400000,14,IF(AD14&gt;3200000,13,IF(AD14&gt;1600000,12,IF(AD14&gt;800000,11,IF(AD14&gt;400000,10,IF(AD14&gt;200000,9,IF(AD14&gt;100000,8,IF(AD14&gt;50000,7,IF(AD14&gt;25000,6,IF(AD14&gt;12500,5,IF(AD14&gt;6250,4,IF(AD14&gt;3120,3,IF(AD14&gt;1560,2,IF(AD14&gt;780,1,IF(AD14=0,0)))))))))))))))),"")</f>
        <v/>
      </c>
      <c r="AE20" s="43" t="str">
        <f aca="false">IF(AE14&lt;&gt;"",IF(AE14&gt;12800000,15,IF(AE14&gt;6400000,14,IF(AE14&gt;3200000,13,IF(AE14&gt;1600000,12,IF(AE14&gt;800000,11,IF(AE14&gt;400000,10,IF(AE14&gt;200000,9,IF(AE14&gt;100000,8,IF(AE14&gt;50000,7,IF(AE14&gt;25000,6,IF(AE14&gt;12500,5,IF(AE14&gt;6250,4,IF(AE14&gt;3120,3,IF(AE14&gt;1560,2,IF(AE14&gt;780,1,IF(AE14=0,0)))))))))))))))),"")</f>
        <v/>
      </c>
      <c r="AF20" s="43" t="str">
        <f aca="false">IF(AF14&lt;&gt;"",IF(AF14&gt;12800000,15,IF(AF14&gt;6400000,14,IF(AF14&gt;3200000,13,IF(AF14&gt;1600000,12,IF(AF14&gt;800000,11,IF(AF14&gt;400000,10,IF(AF14&gt;200000,9,IF(AF14&gt;100000,8,IF(AF14&gt;50000,7,IF(AF14&gt;25000,6,IF(AF14&gt;12500,5,IF(AF14&gt;6250,4,IF(AF14&gt;3120,3,IF(AF14&gt;1560,2,IF(AF14&gt;780,1,IF(AF14=0,0)))))))))))))))),"")</f>
        <v/>
      </c>
      <c r="AG20" s="43" t="str">
        <f aca="false">IF(AG14&lt;&gt;"",IF(AG14&gt;12800000,15,IF(AG14&gt;6400000,14,IF(AG14&gt;3200000,13,IF(AG14&gt;1600000,12,IF(AG14&gt;800000,11,IF(AG14&gt;400000,10,IF(AG14&gt;200000,9,IF(AG14&gt;100000,8,IF(AG14&gt;50000,7,IF(AG14&gt;25000,6,IF(AG14&gt;12500,5,IF(AG14&gt;6250,4,IF(AG14&gt;3120,3,IF(AG14&gt;1560,2,IF(AG14&gt;780,1,IF(AG14=0,0)))))))))))))))),"")</f>
        <v/>
      </c>
      <c r="AH20" s="43" t="str">
        <f aca="false">IF(AH14&lt;&gt;"",IF(AH14&gt;12800000,15,IF(AH14&gt;6400000,14,IF(AH14&gt;3200000,13,IF(AH14&gt;1600000,12,IF(AH14&gt;800000,11,IF(AH14&gt;400000,10,IF(AH14&gt;200000,9,IF(AH14&gt;100000,8,IF(AH14&gt;50000,7,IF(AH14&gt;25000,6,IF(AH14&gt;12500,5,IF(AH14&gt;6250,4,IF(AH14&gt;3120,3,IF(AH14&gt;1560,2,IF(AH14&gt;780,1,IF(AH14=0,0)))))))))))))))),"")</f>
        <v/>
      </c>
      <c r="AI20" s="43" t="str">
        <f aca="false">IF(AI14&lt;&gt;"",IF(AI14&gt;12800000,15,IF(AI14&gt;6400000,14,IF(AI14&gt;3200000,13,IF(AI14&gt;1600000,12,IF(AI14&gt;800000,11,IF(AI14&gt;400000,10,IF(AI14&gt;200000,9,IF(AI14&gt;100000,8,IF(AI14&gt;50000,7,IF(AI14&gt;25000,6,IF(AI14&gt;12500,5,IF(AI14&gt;6250,4,IF(AI14&gt;3120,3,IF(AI14&gt;1560,2,IF(AI14&gt;780,1,IF(AI14=0,0)))))))))))))))),"")</f>
        <v/>
      </c>
      <c r="AJ20" s="43" t="str">
        <f aca="false">IF(AJ14&lt;&gt;"",IF(AJ14&gt;12800000,15,IF(AJ14&gt;6400000,14,IF(AJ14&gt;3200000,13,IF(AJ14&gt;1600000,12,IF(AJ14&gt;800000,11,IF(AJ14&gt;400000,10,IF(AJ14&gt;200000,9,IF(AJ14&gt;100000,8,IF(AJ14&gt;50000,7,IF(AJ14&gt;25000,6,IF(AJ14&gt;12500,5,IF(AJ14&gt;6250,4,IF(AJ14&gt;3120,3,IF(AJ14&gt;1560,2,IF(AJ14&gt;780,1,IF(AJ14=0,0)))))))))))))))),"")</f>
        <v/>
      </c>
      <c r="AK20" s="44" t="str">
        <f aca="false">IF(AK14&lt;&gt;"",IF(AK14&gt;12800000,15,IF(AK14&gt;6400000,14,IF(AK14&gt;3200000,13,IF(AK14&gt;1600000,12,IF(AK14&gt;800000,11,IF(AK14&gt;400000,10,IF(AK14&gt;200000,9,IF(AK14&gt;100000,8,IF(AK14&gt;50000,7,IF(AK14&gt;25000,6,IF(AK14&gt;12500,5,IF(AK14&gt;6250,4,IF(AK14&gt;3120,3,IF(AK14&gt;1560,2,IF(AK14&gt;780,1,IF(AK14=0,0)))))))))))))))),"")</f>
        <v/>
      </c>
      <c r="AL20" s="33"/>
      <c r="AM20" s="34"/>
      <c r="AN20" s="34"/>
      <c r="AO20" s="34"/>
      <c r="AP20" s="34"/>
      <c r="AQ20" s="34"/>
      <c r="AR20" s="40"/>
    </row>
    <row r="21" s="37" customFormat="true" ht="13.8" hidden="false" customHeight="false" outlineLevel="0" collapsed="false">
      <c r="A21" s="28"/>
      <c r="B21" s="36" t="s">
        <v>41</v>
      </c>
      <c r="C21" s="37" t="s">
        <v>44</v>
      </c>
      <c r="D21" s="37" t="s">
        <v>45</v>
      </c>
      <c r="E21" s="43" t="str">
        <f aca="false">IF(E15&lt;&gt;"",IF(E15&gt;4984000,15,IF(E15&gt;2492000,14,IF(E15&gt;1246000,13,IF(E15&gt;623000,12,IF(E15&gt;311000,11,IF(E15&gt;156000,10,IF(E15&gt;77900,9,IF(E15&gt;38900,8,IF(E15&gt;19500,7,IF(E15&gt;9730,6,IF(E15&gt;4860,5,IF(E15&gt;2430,4,IF(E15&gt;1220,3,IF(E15&gt;609,2,IF(E15&gt;304,1,IF(E15=0,0)))))))))))))))),"")</f>
        <v/>
      </c>
      <c r="F21" s="43" t="str">
        <f aca="false">IF(F15&lt;&gt;"",IF(F15&gt;4984000,15,IF(F15&gt;2492000,14,IF(F15&gt;1246000,13,IF(F15&gt;623000,12,IF(F15&gt;311000,11,IF(F15&gt;156000,10,IF(F15&gt;77900,9,IF(F15&gt;38900,8,IF(F15&gt;19500,7,IF(F15&gt;9730,6,IF(F15&gt;4860,5,IF(F15&gt;2430,4,IF(F15&gt;1220,3,IF(F15&gt;609,2,IF(F15&gt;304,1,IF(F15=0,0)))))))))))))))),"")</f>
        <v/>
      </c>
      <c r="G21" s="43" t="str">
        <f aca="false">IF(G15&lt;&gt;"",IF(G15&gt;4984000,15,IF(G15&gt;2492000,14,IF(G15&gt;1246000,13,IF(G15&gt;623000,12,IF(G15&gt;311000,11,IF(G15&gt;156000,10,IF(G15&gt;77900,9,IF(G15&gt;38900,8,IF(G15&gt;19500,7,IF(G15&gt;9730,6,IF(G15&gt;4860,5,IF(G15&gt;2430,4,IF(G15&gt;1220,3,IF(G15&gt;609,2,IF(G15&gt;304,1,IF(G15=0,0)))))))))))))))),"")</f>
        <v/>
      </c>
      <c r="H21" s="43" t="str">
        <f aca="false">IF(H15&lt;&gt;"",IF(H15&gt;4984000,15,IF(H15&gt;2492000,14,IF(H15&gt;1246000,13,IF(H15&gt;623000,12,IF(H15&gt;311000,11,IF(H15&gt;156000,10,IF(H15&gt;77900,9,IF(H15&gt;38900,8,IF(H15&gt;19500,7,IF(H15&gt;9730,6,IF(H15&gt;4860,5,IF(H15&gt;2430,4,IF(H15&gt;1220,3,IF(H15&gt;609,2,IF(H15&gt;304,1,IF(H15=0,0)))))))))))))))),"")</f>
        <v/>
      </c>
      <c r="I21" s="43" t="str">
        <f aca="false">IF(I15&lt;&gt;"",IF(I15&gt;4984000,15,IF(I15&gt;2492000,14,IF(I15&gt;1246000,13,IF(I15&gt;623000,12,IF(I15&gt;311000,11,IF(I15&gt;156000,10,IF(I15&gt;77900,9,IF(I15&gt;38900,8,IF(I15&gt;19500,7,IF(I15&gt;9730,6,IF(I15&gt;4860,5,IF(I15&gt;2430,4,IF(I15&gt;1220,3,IF(I15&gt;609,2,IF(I15&gt;304,1,IF(I15=0,0)))))))))))))))),"")</f>
        <v/>
      </c>
      <c r="J21" s="43" t="str">
        <f aca="false">IF(J15&lt;&gt;"",IF(J15&gt;4984000,15,IF(J15&gt;2492000,14,IF(J15&gt;1246000,13,IF(J15&gt;623000,12,IF(J15&gt;311000,11,IF(J15&gt;156000,10,IF(J15&gt;77900,9,IF(J15&gt;38900,8,IF(J15&gt;19500,7,IF(J15&gt;9730,6,IF(J15&gt;4860,5,IF(J15&gt;2430,4,IF(J15&gt;1220,3,IF(J15&gt;609,2,IF(J15&gt;304,1,IF(J15=0,0)))))))))))))))),"")</f>
        <v/>
      </c>
      <c r="K21" s="43" t="str">
        <f aca="false">IF(K15&lt;&gt;"",IF(K15&gt;4984000,15,IF(K15&gt;2492000,14,IF(K15&gt;1246000,13,IF(K15&gt;623000,12,IF(K15&gt;311000,11,IF(K15&gt;156000,10,IF(K15&gt;77900,9,IF(K15&gt;38900,8,IF(K15&gt;19500,7,IF(K15&gt;9730,6,IF(K15&gt;4860,5,IF(K15&gt;2430,4,IF(K15&gt;1220,3,IF(K15&gt;609,2,IF(K15&gt;304,1,IF(K15=0,0)))))))))))))))),"")</f>
        <v/>
      </c>
      <c r="L21" s="43" t="str">
        <f aca="false">IF(L15&lt;&gt;"",IF(L15&gt;4984000,15,IF(L15&gt;2492000,14,IF(L15&gt;1246000,13,IF(L15&gt;623000,12,IF(L15&gt;311000,11,IF(L15&gt;156000,10,IF(L15&gt;77900,9,IF(L15&gt;38900,8,IF(L15&gt;19500,7,IF(L15&gt;9730,6,IF(L15&gt;4860,5,IF(L15&gt;2430,4,IF(L15&gt;1220,3,IF(L15&gt;609,2,IF(L15&gt;304,1,IF(L15=0,0)))))))))))))))),"")</f>
        <v/>
      </c>
      <c r="M21" s="43" t="str">
        <f aca="false">IF(M15&lt;&gt;"",IF(M15&gt;4984000,15,IF(M15&gt;2492000,14,IF(M15&gt;1246000,13,IF(M15&gt;623000,12,IF(M15&gt;311000,11,IF(M15&gt;156000,10,IF(M15&gt;77900,9,IF(M15&gt;38900,8,IF(M15&gt;19500,7,IF(M15&gt;9730,6,IF(M15&gt;4860,5,IF(M15&gt;2430,4,IF(M15&gt;1220,3,IF(M15&gt;609,2,IF(M15&gt;304,1,IF(M15=0,0)))))))))))))))),"")</f>
        <v/>
      </c>
      <c r="N21" s="43" t="str">
        <f aca="false">IF(N15&lt;&gt;"",IF(N15&gt;4984000,15,IF(N15&gt;2492000,14,IF(N15&gt;1246000,13,IF(N15&gt;623000,12,IF(N15&gt;311000,11,IF(N15&gt;156000,10,IF(N15&gt;77900,9,IF(N15&gt;38900,8,IF(N15&gt;19500,7,IF(N15&gt;9730,6,IF(N15&gt;4860,5,IF(N15&gt;2430,4,IF(N15&gt;1220,3,IF(N15&gt;609,2,IF(N15&gt;304,1,IF(N15=0,0)))))))))))))))),"")</f>
        <v/>
      </c>
      <c r="O21" s="43" t="str">
        <f aca="false">IF(O15&lt;&gt;"",IF(O15&gt;4984000,15,IF(O15&gt;2492000,14,IF(O15&gt;1246000,13,IF(O15&gt;623000,12,IF(O15&gt;311000,11,IF(O15&gt;156000,10,IF(O15&gt;77900,9,IF(O15&gt;38900,8,IF(O15&gt;19500,7,IF(O15&gt;9730,6,IF(O15&gt;4860,5,IF(O15&gt;2430,4,IF(O15&gt;1220,3,IF(O15&gt;609,2,IF(O15&gt;304,1,IF(O15=0,0)))))))))))))))),"")</f>
        <v/>
      </c>
      <c r="P21" s="43" t="str">
        <f aca="false">IF(P15&lt;&gt;"",IF(P15&gt;4984000,15,IF(P15&gt;2492000,14,IF(P15&gt;1246000,13,IF(P15&gt;623000,12,IF(P15&gt;311000,11,IF(P15&gt;156000,10,IF(P15&gt;77900,9,IF(P15&gt;38900,8,IF(P15&gt;19500,7,IF(P15&gt;9730,6,IF(P15&gt;4860,5,IF(P15&gt;2430,4,IF(P15&gt;1220,3,IF(P15&gt;609,2,IF(P15&gt;304,1,IF(P15=0,0)))))))))))))))),"")</f>
        <v/>
      </c>
      <c r="Q21" s="43" t="str">
        <f aca="false">IF(Q15&lt;&gt;"",IF(Q15&gt;4984000,15,IF(Q15&gt;2492000,14,IF(Q15&gt;1246000,13,IF(Q15&gt;623000,12,IF(Q15&gt;311000,11,IF(Q15&gt;156000,10,IF(Q15&gt;77900,9,IF(Q15&gt;38900,8,IF(Q15&gt;19500,7,IF(Q15&gt;9730,6,IF(Q15&gt;4860,5,IF(Q15&gt;2430,4,IF(Q15&gt;1220,3,IF(Q15&gt;609,2,IF(Q15&gt;304,1,IF(Q15=0,0)))))))))))))))),"")</f>
        <v/>
      </c>
      <c r="R21" s="43" t="str">
        <f aca="false">IF(R15&lt;&gt;"",IF(R15&gt;4984000,15,IF(R15&gt;2492000,14,IF(R15&gt;1246000,13,IF(R15&gt;623000,12,IF(R15&gt;311000,11,IF(R15&gt;156000,10,IF(R15&gt;77900,9,IF(R15&gt;38900,8,IF(R15&gt;19500,7,IF(R15&gt;9730,6,IF(R15&gt;4860,5,IF(R15&gt;2430,4,IF(R15&gt;1220,3,IF(R15&gt;609,2,IF(R15&gt;304,1,IF(R15=0,0)))))))))))))))),"")</f>
        <v/>
      </c>
      <c r="S21" s="43" t="str">
        <f aca="false">IF(S15&lt;&gt;"",IF(S15&gt;4984000,15,IF(S15&gt;2492000,14,IF(S15&gt;1246000,13,IF(S15&gt;623000,12,IF(S15&gt;311000,11,IF(S15&gt;156000,10,IF(S15&gt;77900,9,IF(S15&gt;38900,8,IF(S15&gt;19500,7,IF(S15&gt;9730,6,IF(S15&gt;4860,5,IF(S15&gt;2430,4,IF(S15&gt;1220,3,IF(S15&gt;609,2,IF(S15&gt;304,1,IF(S15=0,0)))))))))))))))),"")</f>
        <v/>
      </c>
      <c r="T21" s="43" t="str">
        <f aca="false">IF(T15&lt;&gt;"",IF(T15&gt;4984000,15,IF(T15&gt;2492000,14,IF(T15&gt;1246000,13,IF(T15&gt;623000,12,IF(T15&gt;311000,11,IF(T15&gt;156000,10,IF(T15&gt;77900,9,IF(T15&gt;38900,8,IF(T15&gt;19500,7,IF(T15&gt;9730,6,IF(T15&gt;4860,5,IF(T15&gt;2430,4,IF(T15&gt;1220,3,IF(T15&gt;609,2,IF(T15&gt;304,1,IF(T15=0,0)))))))))))))))),"")</f>
        <v/>
      </c>
      <c r="U21" s="43" t="str">
        <f aca="false">IF(U15&lt;&gt;"",IF(U15&gt;4984000,15,IF(U15&gt;2492000,14,IF(U15&gt;1246000,13,IF(U15&gt;623000,12,IF(U15&gt;311000,11,IF(U15&gt;156000,10,IF(U15&gt;77900,9,IF(U15&gt;38900,8,IF(U15&gt;19500,7,IF(U15&gt;9730,6,IF(U15&gt;4860,5,IF(U15&gt;2430,4,IF(U15&gt;1220,3,IF(U15&gt;609,2,IF(U15&gt;304,1,IF(U15=0,0)))))))))))))))),"")</f>
        <v/>
      </c>
      <c r="V21" s="43" t="str">
        <f aca="false">IF(V15&lt;&gt;"",IF(V15&gt;4984000,15,IF(V15&gt;2492000,14,IF(V15&gt;1246000,13,IF(V15&gt;623000,12,IF(V15&gt;311000,11,IF(V15&gt;156000,10,IF(V15&gt;77900,9,IF(V15&gt;38900,8,IF(V15&gt;19500,7,IF(V15&gt;9730,6,IF(V15&gt;4860,5,IF(V15&gt;2430,4,IF(V15&gt;1220,3,IF(V15&gt;609,2,IF(V15&gt;304,1,IF(V15=0,0)))))))))))))))),"")</f>
        <v/>
      </c>
      <c r="W21" s="43" t="str">
        <f aca="false">IF(W15&lt;&gt;"",IF(W15&gt;4984000,15,IF(W15&gt;2492000,14,IF(W15&gt;1246000,13,IF(W15&gt;623000,12,IF(W15&gt;311000,11,IF(W15&gt;156000,10,IF(W15&gt;77900,9,IF(W15&gt;38900,8,IF(W15&gt;19500,7,IF(W15&gt;9730,6,IF(W15&gt;4860,5,IF(W15&gt;2430,4,IF(W15&gt;1220,3,IF(W15&gt;609,2,IF(W15&gt;304,1,IF(W15=0,0)))))))))))))))),"")</f>
        <v/>
      </c>
      <c r="X21" s="43" t="str">
        <f aca="false">IF(X15&lt;&gt;"",IF(X15&gt;4984000,15,IF(X15&gt;2492000,14,IF(X15&gt;1246000,13,IF(X15&gt;623000,12,IF(X15&gt;311000,11,IF(X15&gt;156000,10,IF(X15&gt;77900,9,IF(X15&gt;38900,8,IF(X15&gt;19500,7,IF(X15&gt;9730,6,IF(X15&gt;4860,5,IF(X15&gt;2430,4,IF(X15&gt;1220,3,IF(X15&gt;609,2,IF(X15&gt;304,1,IF(X15=0,0)))))))))))))))),"")</f>
        <v/>
      </c>
      <c r="Y21" s="43" t="str">
        <f aca="false">IF(Y15&lt;&gt;"",IF(Y15&gt;4984000,15,IF(Y15&gt;2492000,14,IF(Y15&gt;1246000,13,IF(Y15&gt;623000,12,IF(Y15&gt;311000,11,IF(Y15&gt;156000,10,IF(Y15&gt;77900,9,IF(Y15&gt;38900,8,IF(Y15&gt;19500,7,IF(Y15&gt;9730,6,IF(Y15&gt;4860,5,IF(Y15&gt;2430,4,IF(Y15&gt;1220,3,IF(Y15&gt;609,2,IF(Y15&gt;304,1,IF(Y15=0,0)))))))))))))))),"")</f>
        <v/>
      </c>
      <c r="Z21" s="43" t="str">
        <f aca="false">IF(Z15&lt;&gt;"",IF(Z15&gt;4984000,15,IF(Z15&gt;2492000,14,IF(Z15&gt;1246000,13,IF(Z15&gt;623000,12,IF(Z15&gt;311000,11,IF(Z15&gt;156000,10,IF(Z15&gt;77900,9,IF(Z15&gt;38900,8,IF(Z15&gt;19500,7,IF(Z15&gt;9730,6,IF(Z15&gt;4860,5,IF(Z15&gt;2430,4,IF(Z15&gt;1220,3,IF(Z15&gt;609,2,IF(Z15&gt;304,1,IF(Z15=0,0)))))))))))))))),"")</f>
        <v/>
      </c>
      <c r="AA21" s="43" t="str">
        <f aca="false">IF(AA15&lt;&gt;"",IF(AA15&gt;4984000,15,IF(AA15&gt;2492000,14,IF(AA15&gt;1246000,13,IF(AA15&gt;623000,12,IF(AA15&gt;311000,11,IF(AA15&gt;156000,10,IF(AA15&gt;77900,9,IF(AA15&gt;38900,8,IF(AA15&gt;19500,7,IF(AA15&gt;9730,6,IF(AA15&gt;4860,5,IF(AA15&gt;2430,4,IF(AA15&gt;1220,3,IF(AA15&gt;609,2,IF(AA15&gt;304,1,IF(AA15=0,0)))))))))))))))),"")</f>
        <v/>
      </c>
      <c r="AB21" s="43" t="str">
        <f aca="false">IF(AB15&lt;&gt;"",IF(AB15&gt;4984000,15,IF(AB15&gt;2492000,14,IF(AB15&gt;1246000,13,IF(AB15&gt;623000,12,IF(AB15&gt;311000,11,IF(AB15&gt;156000,10,IF(AB15&gt;77900,9,IF(AB15&gt;38900,8,IF(AB15&gt;19500,7,IF(AB15&gt;9730,6,IF(AB15&gt;4860,5,IF(AB15&gt;2430,4,IF(AB15&gt;1220,3,IF(AB15&gt;609,2,IF(AB15&gt;304,1,IF(AB15=0,0)))))))))))))))),"")</f>
        <v/>
      </c>
      <c r="AC21" s="43" t="str">
        <f aca="false">IF(AC15&lt;&gt;"",IF(AC15&gt;4984000,15,IF(AC15&gt;2492000,14,IF(AC15&gt;1246000,13,IF(AC15&gt;623000,12,IF(AC15&gt;311000,11,IF(AC15&gt;156000,10,IF(AC15&gt;77900,9,IF(AC15&gt;38900,8,IF(AC15&gt;19500,7,IF(AC15&gt;9730,6,IF(AC15&gt;4860,5,IF(AC15&gt;2430,4,IF(AC15&gt;1220,3,IF(AC15&gt;609,2,IF(AC15&gt;304,1,IF(AC15=0,0)))))))))))))))),"")</f>
        <v/>
      </c>
      <c r="AD21" s="43" t="str">
        <f aca="false">IF(AD15&lt;&gt;"",IF(AD15&gt;4984000,15,IF(AD15&gt;2492000,14,IF(AD15&gt;1246000,13,IF(AD15&gt;623000,12,IF(AD15&gt;311000,11,IF(AD15&gt;156000,10,IF(AD15&gt;77900,9,IF(AD15&gt;38900,8,IF(AD15&gt;19500,7,IF(AD15&gt;9730,6,IF(AD15&gt;4860,5,IF(AD15&gt;2430,4,IF(AD15&gt;1220,3,IF(AD15&gt;609,2,IF(AD15&gt;304,1,IF(AD15=0,0)))))))))))))))),"")</f>
        <v/>
      </c>
      <c r="AE21" s="43" t="str">
        <f aca="false">IF(AE15&lt;&gt;"",IF(AE15&gt;4984000,15,IF(AE15&gt;2492000,14,IF(AE15&gt;1246000,13,IF(AE15&gt;623000,12,IF(AE15&gt;311000,11,IF(AE15&gt;156000,10,IF(AE15&gt;77900,9,IF(AE15&gt;38900,8,IF(AE15&gt;19500,7,IF(AE15&gt;9730,6,IF(AE15&gt;4860,5,IF(AE15&gt;2430,4,IF(AE15&gt;1220,3,IF(AE15&gt;609,2,IF(AE15&gt;304,1,IF(AE15=0,0)))))))))))))))),"")</f>
        <v/>
      </c>
      <c r="AF21" s="43" t="str">
        <f aca="false">IF(AF15&lt;&gt;"",IF(AF15&gt;4984000,15,IF(AF15&gt;2492000,14,IF(AF15&gt;1246000,13,IF(AF15&gt;623000,12,IF(AF15&gt;311000,11,IF(AF15&gt;156000,10,IF(AF15&gt;77900,9,IF(AF15&gt;38900,8,IF(AF15&gt;19500,7,IF(AF15&gt;9730,6,IF(AF15&gt;4860,5,IF(AF15&gt;2430,4,IF(AF15&gt;1220,3,IF(AF15&gt;609,2,IF(AF15&gt;304,1,IF(AF15=0,0)))))))))))))))),"")</f>
        <v/>
      </c>
      <c r="AG21" s="43" t="str">
        <f aca="false">IF(AG15&lt;&gt;"",IF(AG15&gt;4984000,15,IF(AG15&gt;2492000,14,IF(AG15&gt;1246000,13,IF(AG15&gt;623000,12,IF(AG15&gt;311000,11,IF(AG15&gt;156000,10,IF(AG15&gt;77900,9,IF(AG15&gt;38900,8,IF(AG15&gt;19500,7,IF(AG15&gt;9730,6,IF(AG15&gt;4860,5,IF(AG15&gt;2430,4,IF(AG15&gt;1220,3,IF(AG15&gt;609,2,IF(AG15&gt;304,1,IF(AG15=0,0)))))))))))))))),"")</f>
        <v/>
      </c>
      <c r="AH21" s="43" t="str">
        <f aca="false">IF(AH15&lt;&gt;"",IF(AH15&gt;4984000,15,IF(AH15&gt;2492000,14,IF(AH15&gt;1246000,13,IF(AH15&gt;623000,12,IF(AH15&gt;311000,11,IF(AH15&gt;156000,10,IF(AH15&gt;77900,9,IF(AH15&gt;38900,8,IF(AH15&gt;19500,7,IF(AH15&gt;9730,6,IF(AH15&gt;4860,5,IF(AH15&gt;2430,4,IF(AH15&gt;1220,3,IF(AH15&gt;609,2,IF(AH15&gt;304,1,IF(AH15=0,0)))))))))))))))),"")</f>
        <v/>
      </c>
      <c r="AI21" s="43" t="str">
        <f aca="false">IF(AI15&lt;&gt;"",IF(AI15&gt;4984000,15,IF(AI15&gt;2492000,14,IF(AI15&gt;1246000,13,IF(AI15&gt;623000,12,IF(AI15&gt;311000,11,IF(AI15&gt;156000,10,IF(AI15&gt;77900,9,IF(AI15&gt;38900,8,IF(AI15&gt;19500,7,IF(AI15&gt;9730,6,IF(AI15&gt;4860,5,IF(AI15&gt;2430,4,IF(AI15&gt;1220,3,IF(AI15&gt;609,2,IF(AI15&gt;304,1,IF(AI15=0,0)))))))))))))))),"")</f>
        <v/>
      </c>
      <c r="AJ21" s="43" t="str">
        <f aca="false">IF(AJ15&lt;&gt;"",IF(AJ15&gt;4984000,15,IF(AJ15&gt;2492000,14,IF(AJ15&gt;1246000,13,IF(AJ15&gt;623000,12,IF(AJ15&gt;311000,11,IF(AJ15&gt;156000,10,IF(AJ15&gt;77900,9,IF(AJ15&gt;38900,8,IF(AJ15&gt;19500,7,IF(AJ15&gt;9730,6,IF(AJ15&gt;4860,5,IF(AJ15&gt;2430,4,IF(AJ15&gt;1220,3,IF(AJ15&gt;609,2,IF(AJ15&gt;304,1,IF(AJ15=0,0)))))))))))))))),"")</f>
        <v/>
      </c>
      <c r="AK21" s="44" t="str">
        <f aca="false">IF(AK15&lt;&gt;"",IF(AK15&gt;4984000,15,IF(AK15&gt;2492000,14,IF(AK15&gt;1246000,13,IF(AK15&gt;623000,12,IF(AK15&gt;311000,11,IF(AK15&gt;156000,10,IF(AK15&gt;77900,9,IF(AK15&gt;38900,8,IF(AK15&gt;19500,7,IF(AK15&gt;9730,6,IF(AK15&gt;4860,5,IF(AK15&gt;2430,4,IF(AK15&gt;1220,3,IF(AK15&gt;609,2,IF(AK15&gt;304,1,IF(AK15=0,0)))))))))))))))),"")</f>
        <v/>
      </c>
      <c r="AL21" s="33"/>
      <c r="AM21" s="34"/>
      <c r="AN21" s="34"/>
      <c r="AO21" s="34"/>
      <c r="AP21" s="34"/>
      <c r="AQ21" s="34"/>
      <c r="AR21" s="40"/>
    </row>
    <row r="22" s="37" customFormat="true" ht="13.8" hidden="false" customHeight="false" outlineLevel="0" collapsed="false">
      <c r="A22" s="28"/>
      <c r="B22" s="36" t="s">
        <v>41</v>
      </c>
      <c r="C22" s="37" t="s">
        <v>46</v>
      </c>
      <c r="D22" s="37" t="s">
        <v>47</v>
      </c>
      <c r="E22" s="43" t="str">
        <f aca="false">IF(E16&lt;&gt;"",IF(E16&gt;888000,15,IF(E16&gt;444000,14,IF(E16&gt;222000,13,IF(E16&gt;111000,12,IF(E16&gt;55400,11,IF(E16&gt;27700,10,IF(E16&gt;13900,9,IF(E16&gt;6920,8,IF(E16&gt;3460,7,IF(E16&gt;1730,6,IF(E16&gt;864,5,IF(E16&gt;432,4,IF(E16&gt;217,3,IF(E16&gt;109,2,IF(E16&gt;54,1,IF(E16=0,0)))))))))))))))),"")</f>
        <v/>
      </c>
      <c r="F22" s="43" t="str">
        <f aca="false">IF(F16&lt;&gt;"",IF(F16&gt;888000,15,IF(F16&gt;444000,14,IF(F16&gt;222000,13,IF(F16&gt;111000,12,IF(F16&gt;55400,11,IF(F16&gt;27700,10,IF(F16&gt;13900,9,IF(F16&gt;6920,8,IF(F16&gt;3460,7,IF(F16&gt;1730,6,IF(F16&gt;864,5,IF(F16&gt;432,4,IF(F16&gt;217,3,IF(F16&gt;109,2,IF(F16&gt;54,1,IF(F16=0,0)))))))))))))))),"")</f>
        <v/>
      </c>
      <c r="G22" s="43" t="str">
        <f aca="false">IF(G16&lt;&gt;"",IF(G16&gt;888000,15,IF(G16&gt;444000,14,IF(G16&gt;222000,13,IF(G16&gt;111000,12,IF(G16&gt;55400,11,IF(G16&gt;27700,10,IF(G16&gt;13900,9,IF(G16&gt;6920,8,IF(G16&gt;3460,7,IF(G16&gt;1730,6,IF(G16&gt;864,5,IF(G16&gt;432,4,IF(G16&gt;217,3,IF(G16&gt;109,2,IF(G16&gt;54,1,IF(G16=0,0)))))))))))))))),"")</f>
        <v/>
      </c>
      <c r="H22" s="43" t="str">
        <f aca="false">IF(H16&lt;&gt;"",IF(H16&gt;888000,15,IF(H16&gt;444000,14,IF(H16&gt;222000,13,IF(H16&gt;111000,12,IF(H16&gt;55400,11,IF(H16&gt;27700,10,IF(H16&gt;13900,9,IF(H16&gt;6920,8,IF(H16&gt;3460,7,IF(H16&gt;1730,6,IF(H16&gt;864,5,IF(H16&gt;432,4,IF(H16&gt;217,3,IF(H16&gt;109,2,IF(H16&gt;54,1,IF(H16=0,0)))))))))))))))),"")</f>
        <v/>
      </c>
      <c r="I22" s="43" t="str">
        <f aca="false">IF(I16&lt;&gt;"",IF(I16&gt;888000,15,IF(I16&gt;444000,14,IF(I16&gt;222000,13,IF(I16&gt;111000,12,IF(I16&gt;55400,11,IF(I16&gt;27700,10,IF(I16&gt;13900,9,IF(I16&gt;6920,8,IF(I16&gt;3460,7,IF(I16&gt;1730,6,IF(I16&gt;864,5,IF(I16&gt;432,4,IF(I16&gt;217,3,IF(I16&gt;109,2,IF(I16&gt;54,1,IF(I16=0,0)))))))))))))))),"")</f>
        <v/>
      </c>
      <c r="J22" s="43" t="str">
        <f aca="false">IF(J16&lt;&gt;"",IF(J16&gt;888000,15,IF(J16&gt;444000,14,IF(J16&gt;222000,13,IF(J16&gt;111000,12,IF(J16&gt;55400,11,IF(J16&gt;27700,10,IF(J16&gt;13900,9,IF(J16&gt;6920,8,IF(J16&gt;3460,7,IF(J16&gt;1730,6,IF(J16&gt;864,5,IF(J16&gt;432,4,IF(J16&gt;217,3,IF(J16&gt;109,2,IF(J16&gt;54,1,IF(J16=0,0)))))))))))))))),"")</f>
        <v/>
      </c>
      <c r="K22" s="43" t="str">
        <f aca="false">IF(K16&lt;&gt;"",IF(K16&gt;888000,15,IF(K16&gt;444000,14,IF(K16&gt;222000,13,IF(K16&gt;111000,12,IF(K16&gt;55400,11,IF(K16&gt;27700,10,IF(K16&gt;13900,9,IF(K16&gt;6920,8,IF(K16&gt;3460,7,IF(K16&gt;1730,6,IF(K16&gt;864,5,IF(K16&gt;432,4,IF(K16&gt;217,3,IF(K16&gt;109,2,IF(K16&gt;54,1,IF(K16=0,0)))))))))))))))),"")</f>
        <v/>
      </c>
      <c r="L22" s="43" t="str">
        <f aca="false">IF(L16&lt;&gt;"",IF(L16&gt;888000,15,IF(L16&gt;444000,14,IF(L16&gt;222000,13,IF(L16&gt;111000,12,IF(L16&gt;55400,11,IF(L16&gt;27700,10,IF(L16&gt;13900,9,IF(L16&gt;6920,8,IF(L16&gt;3460,7,IF(L16&gt;1730,6,IF(L16&gt;864,5,IF(L16&gt;432,4,IF(L16&gt;217,3,IF(L16&gt;109,2,IF(L16&gt;54,1,IF(L16=0,0)))))))))))))))),"")</f>
        <v/>
      </c>
      <c r="M22" s="43" t="str">
        <f aca="false">IF(M16&lt;&gt;"",IF(M16&gt;888000,15,IF(M16&gt;444000,14,IF(M16&gt;222000,13,IF(M16&gt;111000,12,IF(M16&gt;55400,11,IF(M16&gt;27700,10,IF(M16&gt;13900,9,IF(M16&gt;6920,8,IF(M16&gt;3460,7,IF(M16&gt;1730,6,IF(M16&gt;864,5,IF(M16&gt;432,4,IF(M16&gt;217,3,IF(M16&gt;109,2,IF(M16&gt;54,1,IF(M16=0,0)))))))))))))))),"")</f>
        <v/>
      </c>
      <c r="N22" s="43" t="str">
        <f aca="false">IF(N16&lt;&gt;"",IF(N16&gt;888000,15,IF(N16&gt;444000,14,IF(N16&gt;222000,13,IF(N16&gt;111000,12,IF(N16&gt;55400,11,IF(N16&gt;27700,10,IF(N16&gt;13900,9,IF(N16&gt;6920,8,IF(N16&gt;3460,7,IF(N16&gt;1730,6,IF(N16&gt;864,5,IF(N16&gt;432,4,IF(N16&gt;217,3,IF(N16&gt;109,2,IF(N16&gt;54,1,IF(N16=0,0)))))))))))))))),"")</f>
        <v/>
      </c>
      <c r="O22" s="43" t="str">
        <f aca="false">IF(O16&lt;&gt;"",IF(O16&gt;888000,15,IF(O16&gt;444000,14,IF(O16&gt;222000,13,IF(O16&gt;111000,12,IF(O16&gt;55400,11,IF(O16&gt;27700,10,IF(O16&gt;13900,9,IF(O16&gt;6920,8,IF(O16&gt;3460,7,IF(O16&gt;1730,6,IF(O16&gt;864,5,IF(O16&gt;432,4,IF(O16&gt;217,3,IF(O16&gt;109,2,IF(O16&gt;54,1,IF(O16=0,0)))))))))))))))),"")</f>
        <v/>
      </c>
      <c r="P22" s="43" t="str">
        <f aca="false">IF(P16&lt;&gt;"",IF(P16&gt;888000,15,IF(P16&gt;444000,14,IF(P16&gt;222000,13,IF(P16&gt;111000,12,IF(P16&gt;55400,11,IF(P16&gt;27700,10,IF(P16&gt;13900,9,IF(P16&gt;6920,8,IF(P16&gt;3460,7,IF(P16&gt;1730,6,IF(P16&gt;864,5,IF(P16&gt;432,4,IF(P16&gt;217,3,IF(P16&gt;109,2,IF(P16&gt;54,1,IF(P16=0,0)))))))))))))))),"")</f>
        <v/>
      </c>
      <c r="Q22" s="43" t="str">
        <f aca="false">IF(Q16&lt;&gt;"",IF(Q16&gt;888000,15,IF(Q16&gt;444000,14,IF(Q16&gt;222000,13,IF(Q16&gt;111000,12,IF(Q16&gt;55400,11,IF(Q16&gt;27700,10,IF(Q16&gt;13900,9,IF(Q16&gt;6920,8,IF(Q16&gt;3460,7,IF(Q16&gt;1730,6,IF(Q16&gt;864,5,IF(Q16&gt;432,4,IF(Q16&gt;217,3,IF(Q16&gt;109,2,IF(Q16&gt;54,1,IF(Q16=0,0)))))))))))))))),"")</f>
        <v/>
      </c>
      <c r="R22" s="43" t="str">
        <f aca="false">IF(R16&lt;&gt;"",IF(R16&gt;888000,15,IF(R16&gt;444000,14,IF(R16&gt;222000,13,IF(R16&gt;111000,12,IF(R16&gt;55400,11,IF(R16&gt;27700,10,IF(R16&gt;13900,9,IF(R16&gt;6920,8,IF(R16&gt;3460,7,IF(R16&gt;1730,6,IF(R16&gt;864,5,IF(R16&gt;432,4,IF(R16&gt;217,3,IF(R16&gt;109,2,IF(R16&gt;54,1,IF(R16=0,0)))))))))))))))),"")</f>
        <v/>
      </c>
      <c r="S22" s="43" t="str">
        <f aca="false">IF(S16&lt;&gt;"",IF(S16&gt;888000,15,IF(S16&gt;444000,14,IF(S16&gt;222000,13,IF(S16&gt;111000,12,IF(S16&gt;55400,11,IF(S16&gt;27700,10,IF(S16&gt;13900,9,IF(S16&gt;6920,8,IF(S16&gt;3460,7,IF(S16&gt;1730,6,IF(S16&gt;864,5,IF(S16&gt;432,4,IF(S16&gt;217,3,IF(S16&gt;109,2,IF(S16&gt;54,1,IF(S16=0,0)))))))))))))))),"")</f>
        <v/>
      </c>
      <c r="T22" s="43" t="str">
        <f aca="false">IF(T16&lt;&gt;"",IF(T16&gt;888000,15,IF(T16&gt;444000,14,IF(T16&gt;222000,13,IF(T16&gt;111000,12,IF(T16&gt;55400,11,IF(T16&gt;27700,10,IF(T16&gt;13900,9,IF(T16&gt;6920,8,IF(T16&gt;3460,7,IF(T16&gt;1730,6,IF(T16&gt;864,5,IF(T16&gt;432,4,IF(T16&gt;217,3,IF(T16&gt;109,2,IF(T16&gt;54,1,IF(T16=0,0)))))))))))))))),"")</f>
        <v/>
      </c>
      <c r="U22" s="43" t="str">
        <f aca="false">IF(U16&lt;&gt;"",IF(U16&gt;888000,15,IF(U16&gt;444000,14,IF(U16&gt;222000,13,IF(U16&gt;111000,12,IF(U16&gt;55400,11,IF(U16&gt;27700,10,IF(U16&gt;13900,9,IF(U16&gt;6920,8,IF(U16&gt;3460,7,IF(U16&gt;1730,6,IF(U16&gt;864,5,IF(U16&gt;432,4,IF(U16&gt;217,3,IF(U16&gt;109,2,IF(U16&gt;54,1,IF(U16=0,0)))))))))))))))),"")</f>
        <v/>
      </c>
      <c r="V22" s="43" t="str">
        <f aca="false">IF(V16&lt;&gt;"",IF(V16&gt;888000,15,IF(V16&gt;444000,14,IF(V16&gt;222000,13,IF(V16&gt;111000,12,IF(V16&gt;55400,11,IF(V16&gt;27700,10,IF(V16&gt;13900,9,IF(V16&gt;6920,8,IF(V16&gt;3460,7,IF(V16&gt;1730,6,IF(V16&gt;864,5,IF(V16&gt;432,4,IF(V16&gt;217,3,IF(V16&gt;109,2,IF(V16&gt;54,1,IF(V16=0,0)))))))))))))))),"")</f>
        <v/>
      </c>
      <c r="W22" s="43" t="str">
        <f aca="false">IF(W16&lt;&gt;"",IF(W16&gt;888000,15,IF(W16&gt;444000,14,IF(W16&gt;222000,13,IF(W16&gt;111000,12,IF(W16&gt;55400,11,IF(W16&gt;27700,10,IF(W16&gt;13900,9,IF(W16&gt;6920,8,IF(W16&gt;3460,7,IF(W16&gt;1730,6,IF(W16&gt;864,5,IF(W16&gt;432,4,IF(W16&gt;217,3,IF(W16&gt;109,2,IF(W16&gt;54,1,IF(W16=0,0)))))))))))))))),"")</f>
        <v/>
      </c>
      <c r="X22" s="43" t="str">
        <f aca="false">IF(X16&lt;&gt;"",IF(X16&gt;888000,15,IF(X16&gt;444000,14,IF(X16&gt;222000,13,IF(X16&gt;111000,12,IF(X16&gt;55400,11,IF(X16&gt;27700,10,IF(X16&gt;13900,9,IF(X16&gt;6920,8,IF(X16&gt;3460,7,IF(X16&gt;1730,6,IF(X16&gt;864,5,IF(X16&gt;432,4,IF(X16&gt;217,3,IF(X16&gt;109,2,IF(X16&gt;54,1,IF(X16=0,0)))))))))))))))),"")</f>
        <v/>
      </c>
      <c r="Y22" s="43" t="str">
        <f aca="false">IF(Y16&lt;&gt;"",IF(Y16&gt;888000,15,IF(Y16&gt;444000,14,IF(Y16&gt;222000,13,IF(Y16&gt;111000,12,IF(Y16&gt;55400,11,IF(Y16&gt;27700,10,IF(Y16&gt;13900,9,IF(Y16&gt;6920,8,IF(Y16&gt;3460,7,IF(Y16&gt;1730,6,IF(Y16&gt;864,5,IF(Y16&gt;432,4,IF(Y16&gt;217,3,IF(Y16&gt;109,2,IF(Y16&gt;54,1,IF(Y16=0,0)))))))))))))))),"")</f>
        <v/>
      </c>
      <c r="Z22" s="43" t="str">
        <f aca="false">IF(Z16&lt;&gt;"",IF(Z16&gt;888000,15,IF(Z16&gt;444000,14,IF(Z16&gt;222000,13,IF(Z16&gt;111000,12,IF(Z16&gt;55400,11,IF(Z16&gt;27700,10,IF(Z16&gt;13900,9,IF(Z16&gt;6920,8,IF(Z16&gt;3460,7,IF(Z16&gt;1730,6,IF(Z16&gt;864,5,IF(Z16&gt;432,4,IF(Z16&gt;217,3,IF(Z16&gt;109,2,IF(Z16&gt;54,1,IF(Z16=0,0)))))))))))))))),"")</f>
        <v/>
      </c>
      <c r="AA22" s="43" t="str">
        <f aca="false">IF(AA16&lt;&gt;"",IF(AA16&gt;888000,15,IF(AA16&gt;444000,14,IF(AA16&gt;222000,13,IF(AA16&gt;111000,12,IF(AA16&gt;55400,11,IF(AA16&gt;27700,10,IF(AA16&gt;13900,9,IF(AA16&gt;6920,8,IF(AA16&gt;3460,7,IF(AA16&gt;1730,6,IF(AA16&gt;864,5,IF(AA16&gt;432,4,IF(AA16&gt;217,3,IF(AA16&gt;109,2,IF(AA16&gt;54,1,IF(AA16=0,0)))))))))))))))),"")</f>
        <v/>
      </c>
      <c r="AB22" s="43" t="str">
        <f aca="false">IF(AB16&lt;&gt;"",IF(AB16&gt;888000,15,IF(AB16&gt;444000,14,IF(AB16&gt;222000,13,IF(AB16&gt;111000,12,IF(AB16&gt;55400,11,IF(AB16&gt;27700,10,IF(AB16&gt;13900,9,IF(AB16&gt;6920,8,IF(AB16&gt;3460,7,IF(AB16&gt;1730,6,IF(AB16&gt;864,5,IF(AB16&gt;432,4,IF(AB16&gt;217,3,IF(AB16&gt;109,2,IF(AB16&gt;54,1,IF(AB16=0,0)))))))))))))))),"")</f>
        <v/>
      </c>
      <c r="AC22" s="43" t="str">
        <f aca="false">IF(AC16&lt;&gt;"",IF(AC16&gt;888000,15,IF(AC16&gt;444000,14,IF(AC16&gt;222000,13,IF(AC16&gt;111000,12,IF(AC16&gt;55400,11,IF(AC16&gt;27700,10,IF(AC16&gt;13900,9,IF(AC16&gt;6920,8,IF(AC16&gt;3460,7,IF(AC16&gt;1730,6,IF(AC16&gt;864,5,IF(AC16&gt;432,4,IF(AC16&gt;217,3,IF(AC16&gt;109,2,IF(AC16&gt;54,1,IF(AC16=0,0)))))))))))))))),"")</f>
        <v/>
      </c>
      <c r="AD22" s="43" t="str">
        <f aca="false">IF(AD16&lt;&gt;"",IF(AD16&gt;888000,15,IF(AD16&gt;444000,14,IF(AD16&gt;222000,13,IF(AD16&gt;111000,12,IF(AD16&gt;55400,11,IF(AD16&gt;27700,10,IF(AD16&gt;13900,9,IF(AD16&gt;6920,8,IF(AD16&gt;3460,7,IF(AD16&gt;1730,6,IF(AD16&gt;864,5,IF(AD16&gt;432,4,IF(AD16&gt;217,3,IF(AD16&gt;109,2,IF(AD16&gt;54,1,IF(AD16=0,0)))))))))))))))),"")</f>
        <v/>
      </c>
      <c r="AE22" s="43" t="str">
        <f aca="false">IF(AE16&lt;&gt;"",IF(AE16&gt;888000,15,IF(AE16&gt;444000,14,IF(AE16&gt;222000,13,IF(AE16&gt;111000,12,IF(AE16&gt;55400,11,IF(AE16&gt;27700,10,IF(AE16&gt;13900,9,IF(AE16&gt;6920,8,IF(AE16&gt;3460,7,IF(AE16&gt;1730,6,IF(AE16&gt;864,5,IF(AE16&gt;432,4,IF(AE16&gt;217,3,IF(AE16&gt;109,2,IF(AE16&gt;54,1,IF(AE16=0,0)))))))))))))))),"")</f>
        <v/>
      </c>
      <c r="AF22" s="43" t="str">
        <f aca="false">IF(AF16&lt;&gt;"",IF(AF16&gt;888000,15,IF(AF16&gt;444000,14,IF(AF16&gt;222000,13,IF(AF16&gt;111000,12,IF(AF16&gt;55400,11,IF(AF16&gt;27700,10,IF(AF16&gt;13900,9,IF(AF16&gt;6920,8,IF(AF16&gt;3460,7,IF(AF16&gt;1730,6,IF(AF16&gt;864,5,IF(AF16&gt;432,4,IF(AF16&gt;217,3,IF(AF16&gt;109,2,IF(AF16&gt;54,1,IF(AF16=0,0)))))))))))))))),"")</f>
        <v/>
      </c>
      <c r="AG22" s="43" t="str">
        <f aca="false">IF(AG16&lt;&gt;"",IF(AG16&gt;888000,15,IF(AG16&gt;444000,14,IF(AG16&gt;222000,13,IF(AG16&gt;111000,12,IF(AG16&gt;55400,11,IF(AG16&gt;27700,10,IF(AG16&gt;13900,9,IF(AG16&gt;6920,8,IF(AG16&gt;3460,7,IF(AG16&gt;1730,6,IF(AG16&gt;864,5,IF(AG16&gt;432,4,IF(AG16&gt;217,3,IF(AG16&gt;109,2,IF(AG16&gt;54,1,IF(AG16=0,0)))))))))))))))),"")</f>
        <v/>
      </c>
      <c r="AH22" s="43" t="str">
        <f aca="false">IF(AH16&lt;&gt;"",IF(AH16&gt;888000,15,IF(AH16&gt;444000,14,IF(AH16&gt;222000,13,IF(AH16&gt;111000,12,IF(AH16&gt;55400,11,IF(AH16&gt;27700,10,IF(AH16&gt;13900,9,IF(AH16&gt;6920,8,IF(AH16&gt;3460,7,IF(AH16&gt;1730,6,IF(AH16&gt;864,5,IF(AH16&gt;432,4,IF(AH16&gt;217,3,IF(AH16&gt;109,2,IF(AH16&gt;54,1,IF(AH16=0,0)))))))))))))))),"")</f>
        <v/>
      </c>
      <c r="AI22" s="43" t="str">
        <f aca="false">IF(AI16&lt;&gt;"",IF(AI16&gt;888000,15,IF(AI16&gt;444000,14,IF(AI16&gt;222000,13,IF(AI16&gt;111000,12,IF(AI16&gt;55400,11,IF(AI16&gt;27700,10,IF(AI16&gt;13900,9,IF(AI16&gt;6920,8,IF(AI16&gt;3460,7,IF(AI16&gt;1730,6,IF(AI16&gt;864,5,IF(AI16&gt;432,4,IF(AI16&gt;217,3,IF(AI16&gt;109,2,IF(AI16&gt;54,1,IF(AI16=0,0)))))))))))))))),"")</f>
        <v/>
      </c>
      <c r="AJ22" s="43" t="str">
        <f aca="false">IF(AJ16&lt;&gt;"",IF(AJ16&gt;888000,15,IF(AJ16&gt;444000,14,IF(AJ16&gt;222000,13,IF(AJ16&gt;111000,12,IF(AJ16&gt;55400,11,IF(AJ16&gt;27700,10,IF(AJ16&gt;13900,9,IF(AJ16&gt;6920,8,IF(AJ16&gt;3460,7,IF(AJ16&gt;1730,6,IF(AJ16&gt;864,5,IF(AJ16&gt;432,4,IF(AJ16&gt;217,3,IF(AJ16&gt;109,2,IF(AJ16&gt;54,1,IF(AJ16=0,0)))))))))))))))),"")</f>
        <v/>
      </c>
      <c r="AK22" s="44" t="str">
        <f aca="false">IF(AK16&lt;&gt;"",IF(AK16&gt;888000,15,IF(AK16&gt;444000,14,IF(AK16&gt;222000,13,IF(AK16&gt;111000,12,IF(AK16&gt;55400,11,IF(AK16&gt;27700,10,IF(AK16&gt;13900,9,IF(AK16&gt;6920,8,IF(AK16&gt;3460,7,IF(AK16&gt;1730,6,IF(AK16&gt;864,5,IF(AK16&gt;432,4,IF(AK16&gt;217,3,IF(AK16&gt;109,2,IF(AK16&gt;54,1,IF(AK16=0,0)))))))))))))))),"")</f>
        <v/>
      </c>
      <c r="AL22" s="33"/>
      <c r="AM22" s="34"/>
      <c r="AN22" s="34"/>
      <c r="AO22" s="34"/>
      <c r="AP22" s="34"/>
      <c r="AQ22" s="34"/>
      <c r="AR22" s="40"/>
    </row>
    <row r="23" s="37" customFormat="true" ht="13.8" hidden="false" customHeight="false" outlineLevel="0" collapsed="false">
      <c r="A23" s="28"/>
      <c r="B23" s="36" t="s">
        <v>41</v>
      </c>
      <c r="C23" s="37" t="s">
        <v>48</v>
      </c>
      <c r="D23" s="37" t="s">
        <v>49</v>
      </c>
      <c r="E23" s="43" t="str">
        <f aca="false">IF(E17&lt;&gt;"",IF(E17&gt;156800,15,IF(E17&gt;78400,14,IF(E17&gt;39200,13,IF(E17&gt;19600,12,IF(E17&gt;9800,11,IF(E17&gt;4900,10,IF(E17&gt;2450,9,IF(E17&gt;1220,8,IF(E17&gt;612,7,IF(E17&gt;306,6,IF(E17&gt;152,5,IF(E17&gt;76,4,IF(E17&gt;39,3,IF(E17&gt;20,2,IF(E17&gt;10,1,IF(E17=0,0)))))))))))))))),"")</f>
        <v/>
      </c>
      <c r="F23" s="43" t="str">
        <f aca="false">IF(F17&lt;&gt;"",IF(F17&gt;156800,15,IF(F17&gt;78400,14,IF(F17&gt;39200,13,IF(F17&gt;19600,12,IF(F17&gt;9800,11,IF(F17&gt;4900,10,IF(F17&gt;2450,9,IF(F17&gt;1220,8,IF(F17&gt;612,7,IF(F17&gt;306,6,IF(F17&gt;152,5,IF(F17&gt;76,4,IF(F17&gt;39,3,IF(F17&gt;20,2,IF(F17&gt;10,1,IF(F17=0,0)))))))))))))))),"")</f>
        <v/>
      </c>
      <c r="G23" s="43" t="str">
        <f aca="false">IF(G17&lt;&gt;"",IF(G17&gt;156800,15,IF(G17&gt;78400,14,IF(G17&gt;39200,13,IF(G17&gt;19600,12,IF(G17&gt;9800,11,IF(G17&gt;4900,10,IF(G17&gt;2450,9,IF(G17&gt;1220,8,IF(G17&gt;612,7,IF(G17&gt;306,6,IF(G17&gt;152,5,IF(G17&gt;76,4,IF(G17&gt;39,3,IF(G17&gt;20,2,IF(G17&gt;10,1,IF(G17=0,0)))))))))))))))),"")</f>
        <v/>
      </c>
      <c r="H23" s="43" t="str">
        <f aca="false">IF(H17&lt;&gt;"",IF(H17&gt;156800,15,IF(H17&gt;78400,14,IF(H17&gt;39200,13,IF(H17&gt;19600,12,IF(H17&gt;9800,11,IF(H17&gt;4900,10,IF(H17&gt;2450,9,IF(H17&gt;1220,8,IF(H17&gt;612,7,IF(H17&gt;306,6,IF(H17&gt;152,5,IF(H17&gt;76,4,IF(H17&gt;39,3,IF(H17&gt;20,2,IF(H17&gt;10,1,IF(H17=0,0)))))))))))))))),"")</f>
        <v/>
      </c>
      <c r="I23" s="43" t="str">
        <f aca="false">IF(I17&lt;&gt;"",IF(I17&gt;156800,15,IF(I17&gt;78400,14,IF(I17&gt;39200,13,IF(I17&gt;19600,12,IF(I17&gt;9800,11,IF(I17&gt;4900,10,IF(I17&gt;2450,9,IF(I17&gt;1220,8,IF(I17&gt;612,7,IF(I17&gt;306,6,IF(I17&gt;152,5,IF(I17&gt;76,4,IF(I17&gt;39,3,IF(I17&gt;20,2,IF(I17&gt;10,1,IF(I17=0,0)))))))))))))))),"")</f>
        <v/>
      </c>
      <c r="J23" s="43" t="str">
        <f aca="false">IF(J17&lt;&gt;"",IF(J17&gt;156800,15,IF(J17&gt;78400,14,IF(J17&gt;39200,13,IF(J17&gt;19600,12,IF(J17&gt;9800,11,IF(J17&gt;4900,10,IF(J17&gt;2450,9,IF(J17&gt;1220,8,IF(J17&gt;612,7,IF(J17&gt;306,6,IF(J17&gt;152,5,IF(J17&gt;76,4,IF(J17&gt;39,3,IF(J17&gt;20,2,IF(J17&gt;10,1,IF(J17=0,0)))))))))))))))),"")</f>
        <v/>
      </c>
      <c r="K23" s="43" t="str">
        <f aca="false">IF(K17&lt;&gt;"",IF(K17&gt;156800,15,IF(K17&gt;78400,14,IF(K17&gt;39200,13,IF(K17&gt;19600,12,IF(K17&gt;9800,11,IF(K17&gt;4900,10,IF(K17&gt;2450,9,IF(K17&gt;1220,8,IF(K17&gt;612,7,IF(K17&gt;306,6,IF(K17&gt;152,5,IF(K17&gt;76,4,IF(K17&gt;39,3,IF(K17&gt;20,2,IF(K17&gt;10,1,IF(K17=0,0)))))))))))))))),"")</f>
        <v/>
      </c>
      <c r="L23" s="43" t="str">
        <f aca="false">IF(L17&lt;&gt;"",IF(L17&gt;156800,15,IF(L17&gt;78400,14,IF(L17&gt;39200,13,IF(L17&gt;19600,12,IF(L17&gt;9800,11,IF(L17&gt;4900,10,IF(L17&gt;2450,9,IF(L17&gt;1220,8,IF(L17&gt;612,7,IF(L17&gt;306,6,IF(L17&gt;152,5,IF(L17&gt;76,4,IF(L17&gt;39,3,IF(L17&gt;20,2,IF(L17&gt;10,1,IF(L17=0,0)))))))))))))))),"")</f>
        <v/>
      </c>
      <c r="M23" s="43" t="str">
        <f aca="false">IF(M17&lt;&gt;"",IF(M17&gt;156800,15,IF(M17&gt;78400,14,IF(M17&gt;39200,13,IF(M17&gt;19600,12,IF(M17&gt;9800,11,IF(M17&gt;4900,10,IF(M17&gt;2450,9,IF(M17&gt;1220,8,IF(M17&gt;612,7,IF(M17&gt;306,6,IF(M17&gt;152,5,IF(M17&gt;76,4,IF(M17&gt;39,3,IF(M17&gt;20,2,IF(M17&gt;10,1,IF(M17=0,0)))))))))))))))),"")</f>
        <v/>
      </c>
      <c r="N23" s="43" t="str">
        <f aca="false">IF(N17&lt;&gt;"",IF(N17&gt;156800,15,IF(N17&gt;78400,14,IF(N17&gt;39200,13,IF(N17&gt;19600,12,IF(N17&gt;9800,11,IF(N17&gt;4900,10,IF(N17&gt;2450,9,IF(N17&gt;1220,8,IF(N17&gt;612,7,IF(N17&gt;306,6,IF(N17&gt;152,5,IF(N17&gt;76,4,IF(N17&gt;39,3,IF(N17&gt;20,2,IF(N17&gt;10,1,IF(N17=0,0)))))))))))))))),"")</f>
        <v/>
      </c>
      <c r="O23" s="43" t="str">
        <f aca="false">IF(O17&lt;&gt;"",IF(O17&gt;156800,15,IF(O17&gt;78400,14,IF(O17&gt;39200,13,IF(O17&gt;19600,12,IF(O17&gt;9800,11,IF(O17&gt;4900,10,IF(O17&gt;2450,9,IF(O17&gt;1220,8,IF(O17&gt;612,7,IF(O17&gt;306,6,IF(O17&gt;152,5,IF(O17&gt;76,4,IF(O17&gt;39,3,IF(O17&gt;20,2,IF(O17&gt;10,1,IF(O17=0,0)))))))))))))))),"")</f>
        <v/>
      </c>
      <c r="P23" s="43" t="str">
        <f aca="false">IF(P17&lt;&gt;"",IF(P17&gt;156800,15,IF(P17&gt;78400,14,IF(P17&gt;39200,13,IF(P17&gt;19600,12,IF(P17&gt;9800,11,IF(P17&gt;4900,10,IF(P17&gt;2450,9,IF(P17&gt;1220,8,IF(P17&gt;612,7,IF(P17&gt;306,6,IF(P17&gt;152,5,IF(P17&gt;76,4,IF(P17&gt;39,3,IF(P17&gt;20,2,IF(P17&gt;10,1,IF(P17=0,0)))))))))))))))),"")</f>
        <v/>
      </c>
      <c r="Q23" s="43" t="str">
        <f aca="false">IF(Q17&lt;&gt;"",IF(Q17&gt;156800,15,IF(Q17&gt;78400,14,IF(Q17&gt;39200,13,IF(Q17&gt;19600,12,IF(Q17&gt;9800,11,IF(Q17&gt;4900,10,IF(Q17&gt;2450,9,IF(Q17&gt;1220,8,IF(Q17&gt;612,7,IF(Q17&gt;306,6,IF(Q17&gt;152,5,IF(Q17&gt;76,4,IF(Q17&gt;39,3,IF(Q17&gt;20,2,IF(Q17&gt;10,1,IF(Q17=0,0)))))))))))))))),"")</f>
        <v/>
      </c>
      <c r="R23" s="43" t="str">
        <f aca="false">IF(R17&lt;&gt;"",IF(R17&gt;156800,15,IF(R17&gt;78400,14,IF(R17&gt;39200,13,IF(R17&gt;19600,12,IF(R17&gt;9800,11,IF(R17&gt;4900,10,IF(R17&gt;2450,9,IF(R17&gt;1220,8,IF(R17&gt;612,7,IF(R17&gt;306,6,IF(R17&gt;152,5,IF(R17&gt;76,4,IF(R17&gt;39,3,IF(R17&gt;20,2,IF(R17&gt;10,1,IF(R17=0,0)))))))))))))))),"")</f>
        <v/>
      </c>
      <c r="S23" s="43" t="str">
        <f aca="false">IF(S17&lt;&gt;"",IF(S17&gt;156800,15,IF(S17&gt;78400,14,IF(S17&gt;39200,13,IF(S17&gt;19600,12,IF(S17&gt;9800,11,IF(S17&gt;4900,10,IF(S17&gt;2450,9,IF(S17&gt;1220,8,IF(S17&gt;612,7,IF(S17&gt;306,6,IF(S17&gt;152,5,IF(S17&gt;76,4,IF(S17&gt;39,3,IF(S17&gt;20,2,IF(S17&gt;10,1,IF(S17=0,0)))))))))))))))),"")</f>
        <v/>
      </c>
      <c r="T23" s="43" t="str">
        <f aca="false">IF(T17&lt;&gt;"",IF(T17&gt;156800,15,IF(T17&gt;78400,14,IF(T17&gt;39200,13,IF(T17&gt;19600,12,IF(T17&gt;9800,11,IF(T17&gt;4900,10,IF(T17&gt;2450,9,IF(T17&gt;1220,8,IF(T17&gt;612,7,IF(T17&gt;306,6,IF(T17&gt;152,5,IF(T17&gt;76,4,IF(T17&gt;39,3,IF(T17&gt;20,2,IF(T17&gt;10,1,IF(T17=0,0)))))))))))))))),"")</f>
        <v/>
      </c>
      <c r="U23" s="43" t="str">
        <f aca="false">IF(U17&lt;&gt;"",IF(U17&gt;156800,15,IF(U17&gt;78400,14,IF(U17&gt;39200,13,IF(U17&gt;19600,12,IF(U17&gt;9800,11,IF(U17&gt;4900,10,IF(U17&gt;2450,9,IF(U17&gt;1220,8,IF(U17&gt;612,7,IF(U17&gt;306,6,IF(U17&gt;152,5,IF(U17&gt;76,4,IF(U17&gt;39,3,IF(U17&gt;20,2,IF(U17&gt;10,1,IF(U17=0,0)))))))))))))))),"")</f>
        <v/>
      </c>
      <c r="V23" s="43" t="str">
        <f aca="false">IF(V17&lt;&gt;"",IF(V17&gt;156800,15,IF(V17&gt;78400,14,IF(V17&gt;39200,13,IF(V17&gt;19600,12,IF(V17&gt;9800,11,IF(V17&gt;4900,10,IF(V17&gt;2450,9,IF(V17&gt;1220,8,IF(V17&gt;612,7,IF(V17&gt;306,6,IF(V17&gt;152,5,IF(V17&gt;76,4,IF(V17&gt;39,3,IF(V17&gt;20,2,IF(V17&gt;10,1,IF(V17=0,0)))))))))))))))),"")</f>
        <v/>
      </c>
      <c r="W23" s="43" t="str">
        <f aca="false">IF(W17&lt;&gt;"",IF(W17&gt;156800,15,IF(W17&gt;78400,14,IF(W17&gt;39200,13,IF(W17&gt;19600,12,IF(W17&gt;9800,11,IF(W17&gt;4900,10,IF(W17&gt;2450,9,IF(W17&gt;1220,8,IF(W17&gt;612,7,IF(W17&gt;306,6,IF(W17&gt;152,5,IF(W17&gt;76,4,IF(W17&gt;39,3,IF(W17&gt;20,2,IF(W17&gt;10,1,IF(W17=0,0)))))))))))))))),"")</f>
        <v/>
      </c>
      <c r="X23" s="43" t="str">
        <f aca="false">IF(X17&lt;&gt;"",IF(X17&gt;156800,15,IF(X17&gt;78400,14,IF(X17&gt;39200,13,IF(X17&gt;19600,12,IF(X17&gt;9800,11,IF(X17&gt;4900,10,IF(X17&gt;2450,9,IF(X17&gt;1220,8,IF(X17&gt;612,7,IF(X17&gt;306,6,IF(X17&gt;152,5,IF(X17&gt;76,4,IF(X17&gt;39,3,IF(X17&gt;20,2,IF(X17&gt;10,1,IF(X17=0,0)))))))))))))))),"")</f>
        <v/>
      </c>
      <c r="Y23" s="43" t="str">
        <f aca="false">IF(Y17&lt;&gt;"",IF(Y17&gt;156800,15,IF(Y17&gt;78400,14,IF(Y17&gt;39200,13,IF(Y17&gt;19600,12,IF(Y17&gt;9800,11,IF(Y17&gt;4900,10,IF(Y17&gt;2450,9,IF(Y17&gt;1220,8,IF(Y17&gt;612,7,IF(Y17&gt;306,6,IF(Y17&gt;152,5,IF(Y17&gt;76,4,IF(Y17&gt;39,3,IF(Y17&gt;20,2,IF(Y17&gt;10,1,IF(Y17=0,0)))))))))))))))),"")</f>
        <v/>
      </c>
      <c r="Z23" s="43" t="str">
        <f aca="false">IF(Z17&lt;&gt;"",IF(Z17&gt;156800,15,IF(Z17&gt;78400,14,IF(Z17&gt;39200,13,IF(Z17&gt;19600,12,IF(Z17&gt;9800,11,IF(Z17&gt;4900,10,IF(Z17&gt;2450,9,IF(Z17&gt;1220,8,IF(Z17&gt;612,7,IF(Z17&gt;306,6,IF(Z17&gt;152,5,IF(Z17&gt;76,4,IF(Z17&gt;39,3,IF(Z17&gt;20,2,IF(Z17&gt;10,1,IF(Z17=0,0)))))))))))))))),"")</f>
        <v/>
      </c>
      <c r="AA23" s="43" t="str">
        <f aca="false">IF(AA17&lt;&gt;"",IF(AA17&gt;156800,15,IF(AA17&gt;78400,14,IF(AA17&gt;39200,13,IF(AA17&gt;19600,12,IF(AA17&gt;9800,11,IF(AA17&gt;4900,10,IF(AA17&gt;2450,9,IF(AA17&gt;1220,8,IF(AA17&gt;612,7,IF(AA17&gt;306,6,IF(AA17&gt;152,5,IF(AA17&gt;76,4,IF(AA17&gt;39,3,IF(AA17&gt;20,2,IF(AA17&gt;10,1,IF(AA17=0,0)))))))))))))))),"")</f>
        <v/>
      </c>
      <c r="AB23" s="43" t="str">
        <f aca="false">IF(AB17&lt;&gt;"",IF(AB17&gt;156800,15,IF(AB17&gt;78400,14,IF(AB17&gt;39200,13,IF(AB17&gt;19600,12,IF(AB17&gt;9800,11,IF(AB17&gt;4900,10,IF(AB17&gt;2450,9,IF(AB17&gt;1220,8,IF(AB17&gt;612,7,IF(AB17&gt;306,6,IF(AB17&gt;152,5,IF(AB17&gt;76,4,IF(AB17&gt;39,3,IF(AB17&gt;20,2,IF(AB17&gt;10,1,IF(AB17=0,0)))))))))))))))),"")</f>
        <v/>
      </c>
      <c r="AC23" s="43" t="str">
        <f aca="false">IF(AC17&lt;&gt;"",IF(AC17&gt;156800,15,IF(AC17&gt;78400,14,IF(AC17&gt;39200,13,IF(AC17&gt;19600,12,IF(AC17&gt;9800,11,IF(AC17&gt;4900,10,IF(AC17&gt;2450,9,IF(AC17&gt;1220,8,IF(AC17&gt;612,7,IF(AC17&gt;306,6,IF(AC17&gt;152,5,IF(AC17&gt;76,4,IF(AC17&gt;39,3,IF(AC17&gt;20,2,IF(AC17&gt;10,1,IF(AC17=0,0)))))))))))))))),"")</f>
        <v/>
      </c>
      <c r="AD23" s="43" t="str">
        <f aca="false">IF(AD17&lt;&gt;"",IF(AD17&gt;156800,15,IF(AD17&gt;78400,14,IF(AD17&gt;39200,13,IF(AD17&gt;19600,12,IF(AD17&gt;9800,11,IF(AD17&gt;4900,10,IF(AD17&gt;2450,9,IF(AD17&gt;1220,8,IF(AD17&gt;612,7,IF(AD17&gt;306,6,IF(AD17&gt;152,5,IF(AD17&gt;76,4,IF(AD17&gt;39,3,IF(AD17&gt;20,2,IF(AD17&gt;10,1,IF(AD17=0,0)))))))))))))))),"")</f>
        <v/>
      </c>
      <c r="AE23" s="43" t="str">
        <f aca="false">IF(AE17&lt;&gt;"",IF(AE17&gt;156800,15,IF(AE17&gt;78400,14,IF(AE17&gt;39200,13,IF(AE17&gt;19600,12,IF(AE17&gt;9800,11,IF(AE17&gt;4900,10,IF(AE17&gt;2450,9,IF(AE17&gt;1220,8,IF(AE17&gt;612,7,IF(AE17&gt;306,6,IF(AE17&gt;152,5,IF(AE17&gt;76,4,IF(AE17&gt;39,3,IF(AE17&gt;20,2,IF(AE17&gt;10,1,IF(AE17=0,0)))))))))))))))),"")</f>
        <v/>
      </c>
      <c r="AF23" s="43" t="str">
        <f aca="false">IF(AF17&lt;&gt;"",IF(AF17&gt;156800,15,IF(AF17&gt;78400,14,IF(AF17&gt;39200,13,IF(AF17&gt;19600,12,IF(AF17&gt;9800,11,IF(AF17&gt;4900,10,IF(AF17&gt;2450,9,IF(AF17&gt;1220,8,IF(AF17&gt;612,7,IF(AF17&gt;306,6,IF(AF17&gt;152,5,IF(AF17&gt;76,4,IF(AF17&gt;39,3,IF(AF17&gt;20,2,IF(AF17&gt;10,1,IF(AF17=0,0)))))))))))))))),"")</f>
        <v/>
      </c>
      <c r="AG23" s="43" t="str">
        <f aca="false">IF(AG17&lt;&gt;"",IF(AG17&gt;156800,15,IF(AG17&gt;78400,14,IF(AG17&gt;39200,13,IF(AG17&gt;19600,12,IF(AG17&gt;9800,11,IF(AG17&gt;4900,10,IF(AG17&gt;2450,9,IF(AG17&gt;1220,8,IF(AG17&gt;612,7,IF(AG17&gt;306,6,IF(AG17&gt;152,5,IF(AG17&gt;76,4,IF(AG17&gt;39,3,IF(AG17&gt;20,2,IF(AG17&gt;10,1,IF(AG17=0,0)))))))))))))))),"")</f>
        <v/>
      </c>
      <c r="AH23" s="43" t="str">
        <f aca="false">IF(AH17&lt;&gt;"",IF(AH17&gt;156800,15,IF(AH17&gt;78400,14,IF(AH17&gt;39200,13,IF(AH17&gt;19600,12,IF(AH17&gt;9800,11,IF(AH17&gt;4900,10,IF(AH17&gt;2450,9,IF(AH17&gt;1220,8,IF(AH17&gt;612,7,IF(AH17&gt;306,6,IF(AH17&gt;152,5,IF(AH17&gt;76,4,IF(AH17&gt;39,3,IF(AH17&gt;20,2,IF(AH17&gt;10,1,IF(AH17=0,0)))))))))))))))),"")</f>
        <v/>
      </c>
      <c r="AI23" s="43" t="str">
        <f aca="false">IF(AI17&lt;&gt;"",IF(AI17&gt;156800,15,IF(AI17&gt;78400,14,IF(AI17&gt;39200,13,IF(AI17&gt;19600,12,IF(AI17&gt;9800,11,IF(AI17&gt;4900,10,IF(AI17&gt;2450,9,IF(AI17&gt;1220,8,IF(AI17&gt;612,7,IF(AI17&gt;306,6,IF(AI17&gt;152,5,IF(AI17&gt;76,4,IF(AI17&gt;39,3,IF(AI17&gt;20,2,IF(AI17&gt;10,1,IF(AI17=0,0)))))))))))))))),"")</f>
        <v/>
      </c>
      <c r="AJ23" s="43" t="str">
        <f aca="false">IF(AJ17&lt;&gt;"",IF(AJ17&gt;156800,15,IF(AJ17&gt;78400,14,IF(AJ17&gt;39200,13,IF(AJ17&gt;19600,12,IF(AJ17&gt;9800,11,IF(AJ17&gt;4900,10,IF(AJ17&gt;2450,9,IF(AJ17&gt;1220,8,IF(AJ17&gt;612,7,IF(AJ17&gt;306,6,IF(AJ17&gt;152,5,IF(AJ17&gt;76,4,IF(AJ17&gt;39,3,IF(AJ17&gt;20,2,IF(AJ17&gt;10,1,IF(AJ17=0,0)))))))))))))))),"")</f>
        <v/>
      </c>
      <c r="AK23" s="44" t="str">
        <f aca="false">IF(AK17&lt;&gt;"",IF(AK17&gt;156800,15,IF(AK17&gt;78400,14,IF(AK17&gt;39200,13,IF(AK17&gt;19600,12,IF(AK17&gt;9800,11,IF(AK17&gt;4900,10,IF(AK17&gt;2450,9,IF(AK17&gt;1220,8,IF(AK17&gt;612,7,IF(AK17&gt;306,6,IF(AK17&gt;152,5,IF(AK17&gt;76,4,IF(AK17&gt;39,3,IF(AK17&gt;20,2,IF(AK17&gt;10,1,IF(AK17=0,0)))))))))))))))),"")</f>
        <v/>
      </c>
      <c r="AL23" s="33"/>
      <c r="AM23" s="34"/>
      <c r="AN23" s="34"/>
      <c r="AO23" s="34"/>
      <c r="AP23" s="34"/>
      <c r="AQ23" s="34"/>
      <c r="AR23" s="40"/>
    </row>
    <row r="24" s="37" customFormat="true" ht="13.8" hidden="false" customHeight="false" outlineLevel="0" collapsed="false">
      <c r="A24" s="28"/>
      <c r="B24" s="36" t="s">
        <v>41</v>
      </c>
      <c r="C24" s="37" t="s">
        <v>50</v>
      </c>
      <c r="D24" s="37" t="s">
        <v>51</v>
      </c>
      <c r="E24" s="43" t="str">
        <f aca="false">IF(E18&lt;&gt;"",IF(E18&gt;27120,15,IF(E18&gt;13560,14,IF(E18&gt;6780,13,IF(E18&gt;3390,12,IF(E18&gt;1700,11,IF(E18&gt;848,10,IF(E18&gt;424,9,IF(E18&gt;212,8,IF(E18&gt;106,7,IF(E18&gt;53,6,IF(E18&gt;26,5,IF(E18&gt;13,4,IF(E18&gt;7,3,IF(E18&gt;4,2,IF(E18&gt;2,1,IF(E18=0,0)))))))))))))))),"")</f>
        <v/>
      </c>
      <c r="F24" s="43" t="str">
        <f aca="false">IF(F18&lt;&gt;"",IF(F18&gt;27120,15,IF(F18&gt;13560,14,IF(F18&gt;6780,13,IF(F18&gt;3390,12,IF(F18&gt;1700,11,IF(F18&gt;848,10,IF(F18&gt;424,9,IF(F18&gt;212,8,IF(F18&gt;106,7,IF(F18&gt;53,6,IF(F18&gt;26,5,IF(F18&gt;13,4,IF(F18&gt;7,3,IF(F18&gt;4,2,IF(F18&gt;2,1,IF(F18=0,0)))))))))))))))),"")</f>
        <v/>
      </c>
      <c r="G24" s="43" t="str">
        <f aca="false">IF(G18&lt;&gt;"",IF(G18&gt;27120,15,IF(G18&gt;13560,14,IF(G18&gt;6780,13,IF(G18&gt;3390,12,IF(G18&gt;1700,11,IF(G18&gt;848,10,IF(G18&gt;424,9,IF(G18&gt;212,8,IF(G18&gt;106,7,IF(G18&gt;53,6,IF(G18&gt;26,5,IF(G18&gt;13,4,IF(G18&gt;7,3,IF(G18&gt;4,2,IF(G18&gt;2,1,IF(G18=0,0)))))))))))))))),"")</f>
        <v/>
      </c>
      <c r="H24" s="43" t="str">
        <f aca="false">IF(H18&lt;&gt;"",IF(H18&gt;27120,15,IF(H18&gt;13560,14,IF(H18&gt;6780,13,IF(H18&gt;3390,12,IF(H18&gt;1700,11,IF(H18&gt;848,10,IF(H18&gt;424,9,IF(H18&gt;212,8,IF(H18&gt;106,7,IF(H18&gt;53,6,IF(H18&gt;26,5,IF(H18&gt;13,4,IF(H18&gt;7,3,IF(H18&gt;4,2,IF(H18&gt;2,1,IF(H18=0,0)))))))))))))))),"")</f>
        <v/>
      </c>
      <c r="I24" s="43" t="str">
        <f aca="false">IF(I18&lt;&gt;"",IF(I18&gt;27120,15,IF(I18&gt;13560,14,IF(I18&gt;6780,13,IF(I18&gt;3390,12,IF(I18&gt;1700,11,IF(I18&gt;848,10,IF(I18&gt;424,9,IF(I18&gt;212,8,IF(I18&gt;106,7,IF(I18&gt;53,6,IF(I18&gt;26,5,IF(I18&gt;13,4,IF(I18&gt;7,3,IF(I18&gt;4,2,IF(I18&gt;2,1,IF(I18=0,0)))))))))))))))),"")</f>
        <v/>
      </c>
      <c r="J24" s="43" t="str">
        <f aca="false">IF(J18&lt;&gt;"",IF(J18&gt;27120,15,IF(J18&gt;13560,14,IF(J18&gt;6780,13,IF(J18&gt;3390,12,IF(J18&gt;1700,11,IF(J18&gt;848,10,IF(J18&gt;424,9,IF(J18&gt;212,8,IF(J18&gt;106,7,IF(J18&gt;53,6,IF(J18&gt;26,5,IF(J18&gt;13,4,IF(J18&gt;7,3,IF(J18&gt;4,2,IF(J18&gt;2,1,IF(J18=0,0)))))))))))))))),"")</f>
        <v/>
      </c>
      <c r="K24" s="43" t="str">
        <f aca="false">IF(K18&lt;&gt;"",IF(K18&gt;27120,15,IF(K18&gt;13560,14,IF(K18&gt;6780,13,IF(K18&gt;3390,12,IF(K18&gt;1700,11,IF(K18&gt;848,10,IF(K18&gt;424,9,IF(K18&gt;212,8,IF(K18&gt;106,7,IF(K18&gt;53,6,IF(K18&gt;26,5,IF(K18&gt;13,4,IF(K18&gt;7,3,IF(K18&gt;4,2,IF(K18&gt;2,1,IF(K18=0,0)))))))))))))))),"")</f>
        <v/>
      </c>
      <c r="L24" s="43" t="str">
        <f aca="false">IF(L18&lt;&gt;"",IF(L18&gt;27120,15,IF(L18&gt;13560,14,IF(L18&gt;6780,13,IF(L18&gt;3390,12,IF(L18&gt;1700,11,IF(L18&gt;848,10,IF(L18&gt;424,9,IF(L18&gt;212,8,IF(L18&gt;106,7,IF(L18&gt;53,6,IF(L18&gt;26,5,IF(L18&gt;13,4,IF(L18&gt;7,3,IF(L18&gt;4,2,IF(L18&gt;2,1,IF(L18=0,0)))))))))))))))),"")</f>
        <v/>
      </c>
      <c r="M24" s="43" t="str">
        <f aca="false">IF(M18&lt;&gt;"",IF(M18&gt;27120,15,IF(M18&gt;13560,14,IF(M18&gt;6780,13,IF(M18&gt;3390,12,IF(M18&gt;1700,11,IF(M18&gt;848,10,IF(M18&gt;424,9,IF(M18&gt;212,8,IF(M18&gt;106,7,IF(M18&gt;53,6,IF(M18&gt;26,5,IF(M18&gt;13,4,IF(M18&gt;7,3,IF(M18&gt;4,2,IF(M18&gt;2,1,IF(M18=0,0)))))))))))))))),"")</f>
        <v/>
      </c>
      <c r="N24" s="43" t="str">
        <f aca="false">IF(N18&lt;&gt;"",IF(N18&gt;27120,15,IF(N18&gt;13560,14,IF(N18&gt;6780,13,IF(N18&gt;3390,12,IF(N18&gt;1700,11,IF(N18&gt;848,10,IF(N18&gt;424,9,IF(N18&gt;212,8,IF(N18&gt;106,7,IF(N18&gt;53,6,IF(N18&gt;26,5,IF(N18&gt;13,4,IF(N18&gt;7,3,IF(N18&gt;4,2,IF(N18&gt;2,1,IF(N18=0,0)))))))))))))))),"")</f>
        <v/>
      </c>
      <c r="O24" s="43" t="str">
        <f aca="false">IF(O18&lt;&gt;"",IF(O18&gt;27120,15,IF(O18&gt;13560,14,IF(O18&gt;6780,13,IF(O18&gt;3390,12,IF(O18&gt;1700,11,IF(O18&gt;848,10,IF(O18&gt;424,9,IF(O18&gt;212,8,IF(O18&gt;106,7,IF(O18&gt;53,6,IF(O18&gt;26,5,IF(O18&gt;13,4,IF(O18&gt;7,3,IF(O18&gt;4,2,IF(O18&gt;2,1,IF(O18=0,0)))))))))))))))),"")</f>
        <v/>
      </c>
      <c r="P24" s="43" t="str">
        <f aca="false">IF(P18&lt;&gt;"",IF(P18&gt;27120,15,IF(P18&gt;13560,14,IF(P18&gt;6780,13,IF(P18&gt;3390,12,IF(P18&gt;1700,11,IF(P18&gt;848,10,IF(P18&gt;424,9,IF(P18&gt;212,8,IF(P18&gt;106,7,IF(P18&gt;53,6,IF(P18&gt;26,5,IF(P18&gt;13,4,IF(P18&gt;7,3,IF(P18&gt;4,2,IF(P18&gt;2,1,IF(P18=0,0)))))))))))))))),"")</f>
        <v/>
      </c>
      <c r="Q24" s="43" t="str">
        <f aca="false">IF(Q18&lt;&gt;"",IF(Q18&gt;27120,15,IF(Q18&gt;13560,14,IF(Q18&gt;6780,13,IF(Q18&gt;3390,12,IF(Q18&gt;1700,11,IF(Q18&gt;848,10,IF(Q18&gt;424,9,IF(Q18&gt;212,8,IF(Q18&gt;106,7,IF(Q18&gt;53,6,IF(Q18&gt;26,5,IF(Q18&gt;13,4,IF(Q18&gt;7,3,IF(Q18&gt;4,2,IF(Q18&gt;2,1,IF(Q18=0,0)))))))))))))))),"")</f>
        <v/>
      </c>
      <c r="R24" s="43" t="str">
        <f aca="false">IF(R18&lt;&gt;"",IF(R18&gt;27120,15,IF(R18&gt;13560,14,IF(R18&gt;6780,13,IF(R18&gt;3390,12,IF(R18&gt;1700,11,IF(R18&gt;848,10,IF(R18&gt;424,9,IF(R18&gt;212,8,IF(R18&gt;106,7,IF(R18&gt;53,6,IF(R18&gt;26,5,IF(R18&gt;13,4,IF(R18&gt;7,3,IF(R18&gt;4,2,IF(R18&gt;2,1,IF(R18=0,0)))))))))))))))),"")</f>
        <v/>
      </c>
      <c r="S24" s="43" t="str">
        <f aca="false">IF(S18&lt;&gt;"",IF(S18&gt;27120,15,IF(S18&gt;13560,14,IF(S18&gt;6780,13,IF(S18&gt;3390,12,IF(S18&gt;1700,11,IF(S18&gt;848,10,IF(S18&gt;424,9,IF(S18&gt;212,8,IF(S18&gt;106,7,IF(S18&gt;53,6,IF(S18&gt;26,5,IF(S18&gt;13,4,IF(S18&gt;7,3,IF(S18&gt;4,2,IF(S18&gt;2,1,IF(S18=0,0)))))))))))))))),"")</f>
        <v/>
      </c>
      <c r="T24" s="43" t="str">
        <f aca="false">IF(T18&lt;&gt;"",IF(T18&gt;27120,15,IF(T18&gt;13560,14,IF(T18&gt;6780,13,IF(T18&gt;3390,12,IF(T18&gt;1700,11,IF(T18&gt;848,10,IF(T18&gt;424,9,IF(T18&gt;212,8,IF(T18&gt;106,7,IF(T18&gt;53,6,IF(T18&gt;26,5,IF(T18&gt;13,4,IF(T18&gt;7,3,IF(T18&gt;4,2,IF(T18&gt;2,1,IF(T18=0,0)))))))))))))))),"")</f>
        <v/>
      </c>
      <c r="U24" s="43" t="str">
        <f aca="false">IF(U18&lt;&gt;"",IF(U18&gt;27120,15,IF(U18&gt;13560,14,IF(U18&gt;6780,13,IF(U18&gt;3390,12,IF(U18&gt;1700,11,IF(U18&gt;848,10,IF(U18&gt;424,9,IF(U18&gt;212,8,IF(U18&gt;106,7,IF(U18&gt;53,6,IF(U18&gt;26,5,IF(U18&gt;13,4,IF(U18&gt;7,3,IF(U18&gt;4,2,IF(U18&gt;2,1,IF(U18=0,0)))))))))))))))),"")</f>
        <v/>
      </c>
      <c r="V24" s="43" t="str">
        <f aca="false">IF(V18&lt;&gt;"",IF(V18&gt;27120,15,IF(V18&gt;13560,14,IF(V18&gt;6780,13,IF(V18&gt;3390,12,IF(V18&gt;1700,11,IF(V18&gt;848,10,IF(V18&gt;424,9,IF(V18&gt;212,8,IF(V18&gt;106,7,IF(V18&gt;53,6,IF(V18&gt;26,5,IF(V18&gt;13,4,IF(V18&gt;7,3,IF(V18&gt;4,2,IF(V18&gt;2,1,IF(V18=0,0)))))))))))))))),"")</f>
        <v/>
      </c>
      <c r="W24" s="43" t="str">
        <f aca="false">IF(W18&lt;&gt;"",IF(W18&gt;27120,15,IF(W18&gt;13560,14,IF(W18&gt;6780,13,IF(W18&gt;3390,12,IF(W18&gt;1700,11,IF(W18&gt;848,10,IF(W18&gt;424,9,IF(W18&gt;212,8,IF(W18&gt;106,7,IF(W18&gt;53,6,IF(W18&gt;26,5,IF(W18&gt;13,4,IF(W18&gt;7,3,IF(W18&gt;4,2,IF(W18&gt;2,1,IF(W18=0,0)))))))))))))))),"")</f>
        <v/>
      </c>
      <c r="X24" s="43" t="str">
        <f aca="false">IF(X18&lt;&gt;"",IF(X18&gt;27120,15,IF(X18&gt;13560,14,IF(X18&gt;6780,13,IF(X18&gt;3390,12,IF(X18&gt;1700,11,IF(X18&gt;848,10,IF(X18&gt;424,9,IF(X18&gt;212,8,IF(X18&gt;106,7,IF(X18&gt;53,6,IF(X18&gt;26,5,IF(X18&gt;13,4,IF(X18&gt;7,3,IF(X18&gt;4,2,IF(X18&gt;2,1,IF(X18=0,0)))))))))))))))),"")</f>
        <v/>
      </c>
      <c r="Y24" s="43" t="str">
        <f aca="false">IF(Y18&lt;&gt;"",IF(Y18&gt;27120,15,IF(Y18&gt;13560,14,IF(Y18&gt;6780,13,IF(Y18&gt;3390,12,IF(Y18&gt;1700,11,IF(Y18&gt;848,10,IF(Y18&gt;424,9,IF(Y18&gt;212,8,IF(Y18&gt;106,7,IF(Y18&gt;53,6,IF(Y18&gt;26,5,IF(Y18&gt;13,4,IF(Y18&gt;7,3,IF(Y18&gt;4,2,IF(Y18&gt;2,1,IF(Y18=0,0)))))))))))))))),"")</f>
        <v/>
      </c>
      <c r="Z24" s="43" t="str">
        <f aca="false">IF(Z18&lt;&gt;"",IF(Z18&gt;27120,15,IF(Z18&gt;13560,14,IF(Z18&gt;6780,13,IF(Z18&gt;3390,12,IF(Z18&gt;1700,11,IF(Z18&gt;848,10,IF(Z18&gt;424,9,IF(Z18&gt;212,8,IF(Z18&gt;106,7,IF(Z18&gt;53,6,IF(Z18&gt;26,5,IF(Z18&gt;13,4,IF(Z18&gt;7,3,IF(Z18&gt;4,2,IF(Z18&gt;2,1,IF(Z18=0,0)))))))))))))))),"")</f>
        <v/>
      </c>
      <c r="AA24" s="43" t="str">
        <f aca="false">IF(AA18&lt;&gt;"",IF(AA18&gt;27120,15,IF(AA18&gt;13560,14,IF(AA18&gt;6780,13,IF(AA18&gt;3390,12,IF(AA18&gt;1700,11,IF(AA18&gt;848,10,IF(AA18&gt;424,9,IF(AA18&gt;212,8,IF(AA18&gt;106,7,IF(AA18&gt;53,6,IF(AA18&gt;26,5,IF(AA18&gt;13,4,IF(AA18&gt;7,3,IF(AA18&gt;4,2,IF(AA18&gt;2,1,IF(AA18=0,0)))))))))))))))),"")</f>
        <v/>
      </c>
      <c r="AB24" s="43" t="str">
        <f aca="false">IF(AB18&lt;&gt;"",IF(AB18&gt;27120,15,IF(AB18&gt;13560,14,IF(AB18&gt;6780,13,IF(AB18&gt;3390,12,IF(AB18&gt;1700,11,IF(AB18&gt;848,10,IF(AB18&gt;424,9,IF(AB18&gt;212,8,IF(AB18&gt;106,7,IF(AB18&gt;53,6,IF(AB18&gt;26,5,IF(AB18&gt;13,4,IF(AB18&gt;7,3,IF(AB18&gt;4,2,IF(AB18&gt;2,1,IF(AB18=0,0)))))))))))))))),"")</f>
        <v/>
      </c>
      <c r="AC24" s="43" t="str">
        <f aca="false">IF(AC18&lt;&gt;"",IF(AC18&gt;27120,15,IF(AC18&gt;13560,14,IF(AC18&gt;6780,13,IF(AC18&gt;3390,12,IF(AC18&gt;1700,11,IF(AC18&gt;848,10,IF(AC18&gt;424,9,IF(AC18&gt;212,8,IF(AC18&gt;106,7,IF(AC18&gt;53,6,IF(AC18&gt;26,5,IF(AC18&gt;13,4,IF(AC18&gt;7,3,IF(AC18&gt;4,2,IF(AC18&gt;2,1,IF(AC18=0,0)))))))))))))))),"")</f>
        <v/>
      </c>
      <c r="AD24" s="43" t="str">
        <f aca="false">IF(AD18&lt;&gt;"",IF(AD18&gt;27120,15,IF(AD18&gt;13560,14,IF(AD18&gt;6780,13,IF(AD18&gt;3390,12,IF(AD18&gt;1700,11,IF(AD18&gt;848,10,IF(AD18&gt;424,9,IF(AD18&gt;212,8,IF(AD18&gt;106,7,IF(AD18&gt;53,6,IF(AD18&gt;26,5,IF(AD18&gt;13,4,IF(AD18&gt;7,3,IF(AD18&gt;4,2,IF(AD18&gt;2,1,IF(AD18=0,0)))))))))))))))),"")</f>
        <v/>
      </c>
      <c r="AE24" s="43" t="str">
        <f aca="false">IF(AE18&lt;&gt;"",IF(AE18&gt;27120,15,IF(AE18&gt;13560,14,IF(AE18&gt;6780,13,IF(AE18&gt;3390,12,IF(AE18&gt;1700,11,IF(AE18&gt;848,10,IF(AE18&gt;424,9,IF(AE18&gt;212,8,IF(AE18&gt;106,7,IF(AE18&gt;53,6,IF(AE18&gt;26,5,IF(AE18&gt;13,4,IF(AE18&gt;7,3,IF(AE18&gt;4,2,IF(AE18&gt;2,1,IF(AE18=0,0)))))))))))))))),"")</f>
        <v/>
      </c>
      <c r="AF24" s="43" t="str">
        <f aca="false">IF(AF18&lt;&gt;"",IF(AF18&gt;27120,15,IF(AF18&gt;13560,14,IF(AF18&gt;6780,13,IF(AF18&gt;3390,12,IF(AF18&gt;1700,11,IF(AF18&gt;848,10,IF(AF18&gt;424,9,IF(AF18&gt;212,8,IF(AF18&gt;106,7,IF(AF18&gt;53,6,IF(AF18&gt;26,5,IF(AF18&gt;13,4,IF(AF18&gt;7,3,IF(AF18&gt;4,2,IF(AF18&gt;2,1,IF(AF18=0,0)))))))))))))))),"")</f>
        <v/>
      </c>
      <c r="AG24" s="43" t="str">
        <f aca="false">IF(AG18&lt;&gt;"",IF(AG18&gt;27120,15,IF(AG18&gt;13560,14,IF(AG18&gt;6780,13,IF(AG18&gt;3390,12,IF(AG18&gt;1700,11,IF(AG18&gt;848,10,IF(AG18&gt;424,9,IF(AG18&gt;212,8,IF(AG18&gt;106,7,IF(AG18&gt;53,6,IF(AG18&gt;26,5,IF(AG18&gt;13,4,IF(AG18&gt;7,3,IF(AG18&gt;4,2,IF(AG18&gt;2,1,IF(AG18=0,0)))))))))))))))),"")</f>
        <v/>
      </c>
      <c r="AH24" s="43" t="str">
        <f aca="false">IF(AH18&lt;&gt;"",IF(AH18&gt;27120,15,IF(AH18&gt;13560,14,IF(AH18&gt;6780,13,IF(AH18&gt;3390,12,IF(AH18&gt;1700,11,IF(AH18&gt;848,10,IF(AH18&gt;424,9,IF(AH18&gt;212,8,IF(AH18&gt;106,7,IF(AH18&gt;53,6,IF(AH18&gt;26,5,IF(AH18&gt;13,4,IF(AH18&gt;7,3,IF(AH18&gt;4,2,IF(AH18&gt;2,1,IF(AH18=0,0)))))))))))))))),"")</f>
        <v/>
      </c>
      <c r="AI24" s="43" t="str">
        <f aca="false">IF(AI18&lt;&gt;"",IF(AI18&gt;27120,15,IF(AI18&gt;13560,14,IF(AI18&gt;6780,13,IF(AI18&gt;3390,12,IF(AI18&gt;1700,11,IF(AI18&gt;848,10,IF(AI18&gt;424,9,IF(AI18&gt;212,8,IF(AI18&gt;106,7,IF(AI18&gt;53,6,IF(AI18&gt;26,5,IF(AI18&gt;13,4,IF(AI18&gt;7,3,IF(AI18&gt;4,2,IF(AI18&gt;2,1,IF(AI18=0,0)))))))))))))))),"")</f>
        <v/>
      </c>
      <c r="AJ24" s="43" t="str">
        <f aca="false">IF(AJ18&lt;&gt;"",IF(AJ18&gt;27120,15,IF(AJ18&gt;13560,14,IF(AJ18&gt;6780,13,IF(AJ18&gt;3390,12,IF(AJ18&gt;1700,11,IF(AJ18&gt;848,10,IF(AJ18&gt;424,9,IF(AJ18&gt;212,8,IF(AJ18&gt;106,7,IF(AJ18&gt;53,6,IF(AJ18&gt;26,5,IF(AJ18&gt;13,4,IF(AJ18&gt;7,3,IF(AJ18&gt;4,2,IF(AJ18&gt;2,1,IF(AJ18=0,0)))))))))))))))),"")</f>
        <v/>
      </c>
      <c r="AK24" s="44" t="str">
        <f aca="false">IF(AK18&lt;&gt;"",IF(AK18&gt;27120,15,IF(AK18&gt;13560,14,IF(AK18&gt;6780,13,IF(AK18&gt;3390,12,IF(AK18&gt;1700,11,IF(AK18&gt;848,10,IF(AK18&gt;424,9,IF(AK18&gt;212,8,IF(AK18&gt;106,7,IF(AK18&gt;53,6,IF(AK18&gt;26,5,IF(AK18&gt;13,4,IF(AK18&gt;7,3,IF(AK18&gt;4,2,IF(AK18&gt;2,1,IF(AK18=0,0)))))))))))))))),"")</f>
        <v/>
      </c>
      <c r="AL24" s="33"/>
      <c r="AM24" s="34"/>
      <c r="AN24" s="34"/>
      <c r="AO24" s="34"/>
      <c r="AP24" s="34"/>
      <c r="AQ24" s="34"/>
      <c r="AR24" s="40"/>
    </row>
    <row r="25" s="37" customFormat="true" ht="13.8" hidden="false" customHeight="false" outlineLevel="0" collapsed="false">
      <c r="A25" s="28"/>
      <c r="B25" s="36" t="s">
        <v>41</v>
      </c>
      <c r="C25" s="37" t="s">
        <v>52</v>
      </c>
      <c r="D25" s="37" t="s">
        <v>53</v>
      </c>
      <c r="E25" s="43" t="str">
        <f aca="false">IF(E19&lt;&gt;"",IF(E19&gt;4096,15,IF(E19&gt;2048,14,IF(E19&gt;1024,13,IF(E19&gt;512,12,IF(E19&gt;256,11,IF(E19&gt;128,10,IF(E19&gt;64,9,IF(E19&gt;32,8,IF(E19&gt;16,7,IF(E19&gt;8,6,IF(E19&gt;4,5,IF(E19&gt;2,4,IF(E19&gt;1,3,IF(E19=1,1,IF(E19=0,0))))))))))))))),"")</f>
        <v/>
      </c>
      <c r="F25" s="43" t="str">
        <f aca="false">IF(F19&lt;&gt;"",IF(F19&gt;4096,15,IF(F19&gt;2048,14,IF(F19&gt;1024,13,IF(F19&gt;512,12,IF(F19&gt;256,11,IF(F19&gt;128,10,IF(F19&gt;64,9,IF(F19&gt;32,8,IF(F19&gt;16,7,IF(F19&gt;8,6,IF(F19&gt;4,5,IF(F19&gt;2,4,IF(F19&gt;1,3,IF(F19=1,1,IF(F19=0,0))))))))))))))),"")</f>
        <v/>
      </c>
      <c r="G25" s="43" t="str">
        <f aca="false">IF(G19&lt;&gt;"",IF(G19&gt;4096,15,IF(G19&gt;2048,14,IF(G19&gt;1024,13,IF(G19&gt;512,12,IF(G19&gt;256,11,IF(G19&gt;128,10,IF(G19&gt;64,9,IF(G19&gt;32,8,IF(G19&gt;16,7,IF(G19&gt;8,6,IF(G19&gt;4,5,IF(G19&gt;2,4,IF(G19&gt;1,3,IF(G19=1,1,IF(G19=0,0))))))))))))))),"")</f>
        <v/>
      </c>
      <c r="H25" s="43" t="str">
        <f aca="false">IF(H19&lt;&gt;"",IF(H19&gt;4096,15,IF(H19&gt;2048,14,IF(H19&gt;1024,13,IF(H19&gt;512,12,IF(H19&gt;256,11,IF(H19&gt;128,10,IF(H19&gt;64,9,IF(H19&gt;32,8,IF(H19&gt;16,7,IF(H19&gt;8,6,IF(H19&gt;4,5,IF(H19&gt;2,4,IF(H19&gt;1,3,IF(H19=1,1,IF(H19=0,0))))))))))))))),"")</f>
        <v/>
      </c>
      <c r="I25" s="43" t="str">
        <f aca="false">IF(I19&lt;&gt;"",IF(I19&gt;4096,15,IF(I19&gt;2048,14,IF(I19&gt;1024,13,IF(I19&gt;512,12,IF(I19&gt;256,11,IF(I19&gt;128,10,IF(I19&gt;64,9,IF(I19&gt;32,8,IF(I19&gt;16,7,IF(I19&gt;8,6,IF(I19&gt;4,5,IF(I19&gt;2,4,IF(I19&gt;1,3,IF(I19=1,1,IF(I19=0,0))))))))))))))),"")</f>
        <v/>
      </c>
      <c r="J25" s="43" t="str">
        <f aca="false">IF(J19&lt;&gt;"",IF(J19&gt;4096,15,IF(J19&gt;2048,14,IF(J19&gt;1024,13,IF(J19&gt;512,12,IF(J19&gt;256,11,IF(J19&gt;128,10,IF(J19&gt;64,9,IF(J19&gt;32,8,IF(J19&gt;16,7,IF(J19&gt;8,6,IF(J19&gt;4,5,IF(J19&gt;2,4,IF(J19&gt;1,3,IF(J19=1,1,IF(J19=0,0))))))))))))))),"")</f>
        <v/>
      </c>
      <c r="K25" s="43" t="str">
        <f aca="false">IF(K19&lt;&gt;"",IF(K19&gt;4096,15,IF(K19&gt;2048,14,IF(K19&gt;1024,13,IF(K19&gt;512,12,IF(K19&gt;256,11,IF(K19&gt;128,10,IF(K19&gt;64,9,IF(K19&gt;32,8,IF(K19&gt;16,7,IF(K19&gt;8,6,IF(K19&gt;4,5,IF(K19&gt;2,4,IF(K19&gt;1,3,IF(K19=1,1,IF(K19=0,0))))))))))))))),"")</f>
        <v/>
      </c>
      <c r="L25" s="43" t="str">
        <f aca="false">IF(L19&lt;&gt;"",IF(L19&gt;4096,15,IF(L19&gt;2048,14,IF(L19&gt;1024,13,IF(L19&gt;512,12,IF(L19&gt;256,11,IF(L19&gt;128,10,IF(L19&gt;64,9,IF(L19&gt;32,8,IF(L19&gt;16,7,IF(L19&gt;8,6,IF(L19&gt;4,5,IF(L19&gt;2,4,IF(L19&gt;1,3,IF(L19=1,1,IF(L19=0,0))))))))))))))),"")</f>
        <v/>
      </c>
      <c r="M25" s="43" t="str">
        <f aca="false">IF(M19&lt;&gt;"",IF(M19&gt;4096,15,IF(M19&gt;2048,14,IF(M19&gt;1024,13,IF(M19&gt;512,12,IF(M19&gt;256,11,IF(M19&gt;128,10,IF(M19&gt;64,9,IF(M19&gt;32,8,IF(M19&gt;16,7,IF(M19&gt;8,6,IF(M19&gt;4,5,IF(M19&gt;2,4,IF(M19&gt;1,3,IF(M19=1,1,IF(M19=0,0))))))))))))))),"")</f>
        <v/>
      </c>
      <c r="N25" s="43" t="str">
        <f aca="false">IF(N19&lt;&gt;"",IF(N19&gt;4096,15,IF(N19&gt;2048,14,IF(N19&gt;1024,13,IF(N19&gt;512,12,IF(N19&gt;256,11,IF(N19&gt;128,10,IF(N19&gt;64,9,IF(N19&gt;32,8,IF(N19&gt;16,7,IF(N19&gt;8,6,IF(N19&gt;4,5,IF(N19&gt;2,4,IF(N19&gt;1,3,IF(N19=1,1,IF(N19=0,0))))))))))))))),"")</f>
        <v/>
      </c>
      <c r="O25" s="43" t="str">
        <f aca="false">IF(O19&lt;&gt;"",IF(O19&gt;4096,15,IF(O19&gt;2048,14,IF(O19&gt;1024,13,IF(O19&gt;512,12,IF(O19&gt;256,11,IF(O19&gt;128,10,IF(O19&gt;64,9,IF(O19&gt;32,8,IF(O19&gt;16,7,IF(O19&gt;8,6,IF(O19&gt;4,5,IF(O19&gt;2,4,IF(O19&gt;1,3,IF(O19=1,1,IF(O19=0,0))))))))))))))),"")</f>
        <v/>
      </c>
      <c r="P25" s="43" t="str">
        <f aca="false">IF(P19&lt;&gt;"",IF(P19&gt;4096,15,IF(P19&gt;2048,14,IF(P19&gt;1024,13,IF(P19&gt;512,12,IF(P19&gt;256,11,IF(P19&gt;128,10,IF(P19&gt;64,9,IF(P19&gt;32,8,IF(P19&gt;16,7,IF(P19&gt;8,6,IF(P19&gt;4,5,IF(P19&gt;2,4,IF(P19&gt;1,3,IF(P19=1,1,IF(P19=0,0))))))))))))))),"")</f>
        <v/>
      </c>
      <c r="Q25" s="43" t="str">
        <f aca="false">IF(Q19&lt;&gt;"",IF(Q19&gt;4096,15,IF(Q19&gt;2048,14,IF(Q19&gt;1024,13,IF(Q19&gt;512,12,IF(Q19&gt;256,11,IF(Q19&gt;128,10,IF(Q19&gt;64,9,IF(Q19&gt;32,8,IF(Q19&gt;16,7,IF(Q19&gt;8,6,IF(Q19&gt;4,5,IF(Q19&gt;2,4,IF(Q19&gt;1,3,IF(Q19=1,1,IF(Q19=0,0))))))))))))))),"")</f>
        <v/>
      </c>
      <c r="R25" s="43" t="str">
        <f aca="false">IF(R19&lt;&gt;"",IF(R19&gt;4096,15,IF(R19&gt;2048,14,IF(R19&gt;1024,13,IF(R19&gt;512,12,IF(R19&gt;256,11,IF(R19&gt;128,10,IF(R19&gt;64,9,IF(R19&gt;32,8,IF(R19&gt;16,7,IF(R19&gt;8,6,IF(R19&gt;4,5,IF(R19&gt;2,4,IF(R19&gt;1,3,IF(R19=1,1,IF(R19=0,0))))))))))))))),"")</f>
        <v/>
      </c>
      <c r="S25" s="43" t="str">
        <f aca="false">IF(S19&lt;&gt;"",IF(S19&gt;4096,15,IF(S19&gt;2048,14,IF(S19&gt;1024,13,IF(S19&gt;512,12,IF(S19&gt;256,11,IF(S19&gt;128,10,IF(S19&gt;64,9,IF(S19&gt;32,8,IF(S19&gt;16,7,IF(S19&gt;8,6,IF(S19&gt;4,5,IF(S19&gt;2,4,IF(S19&gt;1,3,IF(S19=1,1,IF(S19=0,0))))))))))))))),"")</f>
        <v/>
      </c>
      <c r="T25" s="43" t="str">
        <f aca="false">IF(T19&lt;&gt;"",IF(T19&gt;4096,15,IF(T19&gt;2048,14,IF(T19&gt;1024,13,IF(T19&gt;512,12,IF(T19&gt;256,11,IF(T19&gt;128,10,IF(T19&gt;64,9,IF(T19&gt;32,8,IF(T19&gt;16,7,IF(T19&gt;8,6,IF(T19&gt;4,5,IF(T19&gt;2,4,IF(T19&gt;1,3,IF(T19=1,1,IF(T19=0,0))))))))))))))),"")</f>
        <v/>
      </c>
      <c r="U25" s="43" t="str">
        <f aca="false">IF(U19&lt;&gt;"",IF(U19&gt;4096,15,IF(U19&gt;2048,14,IF(U19&gt;1024,13,IF(U19&gt;512,12,IF(U19&gt;256,11,IF(U19&gt;128,10,IF(U19&gt;64,9,IF(U19&gt;32,8,IF(U19&gt;16,7,IF(U19&gt;8,6,IF(U19&gt;4,5,IF(U19&gt;2,4,IF(U19&gt;1,3,IF(U19=1,1,IF(U19=0,0))))))))))))))),"")</f>
        <v/>
      </c>
      <c r="V25" s="43" t="str">
        <f aca="false">IF(V19&lt;&gt;"",IF(V19&gt;4096,15,IF(V19&gt;2048,14,IF(V19&gt;1024,13,IF(V19&gt;512,12,IF(V19&gt;256,11,IF(V19&gt;128,10,IF(V19&gt;64,9,IF(V19&gt;32,8,IF(V19&gt;16,7,IF(V19&gt;8,6,IF(V19&gt;4,5,IF(V19&gt;2,4,IF(V19&gt;1,3,IF(V19=1,1,IF(V19=0,0))))))))))))))),"")</f>
        <v/>
      </c>
      <c r="W25" s="43" t="str">
        <f aca="false">IF(W19&lt;&gt;"",IF(W19&gt;4096,15,IF(W19&gt;2048,14,IF(W19&gt;1024,13,IF(W19&gt;512,12,IF(W19&gt;256,11,IF(W19&gt;128,10,IF(W19&gt;64,9,IF(W19&gt;32,8,IF(W19&gt;16,7,IF(W19&gt;8,6,IF(W19&gt;4,5,IF(W19&gt;2,4,IF(W19&gt;1,3,IF(W19=1,1,IF(W19=0,0))))))))))))))),"")</f>
        <v/>
      </c>
      <c r="X25" s="43" t="str">
        <f aca="false">IF(X19&lt;&gt;"",IF(X19&gt;4096,15,IF(X19&gt;2048,14,IF(X19&gt;1024,13,IF(X19&gt;512,12,IF(X19&gt;256,11,IF(X19&gt;128,10,IF(X19&gt;64,9,IF(X19&gt;32,8,IF(X19&gt;16,7,IF(X19&gt;8,6,IF(X19&gt;4,5,IF(X19&gt;2,4,IF(X19&gt;1,3,IF(X19=1,1,IF(X19=0,0))))))))))))))),"")</f>
        <v/>
      </c>
      <c r="Y25" s="43" t="str">
        <f aca="false">IF(Y19&lt;&gt;"",IF(Y19&gt;4096,15,IF(Y19&gt;2048,14,IF(Y19&gt;1024,13,IF(Y19&gt;512,12,IF(Y19&gt;256,11,IF(Y19&gt;128,10,IF(Y19&gt;64,9,IF(Y19&gt;32,8,IF(Y19&gt;16,7,IF(Y19&gt;8,6,IF(Y19&gt;4,5,IF(Y19&gt;2,4,IF(Y19&gt;1,3,IF(Y19=1,1,IF(Y19=0,0))))))))))))))),"")</f>
        <v/>
      </c>
      <c r="Z25" s="43" t="str">
        <f aca="false">IF(Z19&lt;&gt;"",IF(Z19&gt;4096,15,IF(Z19&gt;2048,14,IF(Z19&gt;1024,13,IF(Z19&gt;512,12,IF(Z19&gt;256,11,IF(Z19&gt;128,10,IF(Z19&gt;64,9,IF(Z19&gt;32,8,IF(Z19&gt;16,7,IF(Z19&gt;8,6,IF(Z19&gt;4,5,IF(Z19&gt;2,4,IF(Z19&gt;1,3,IF(Z19=1,1,IF(Z19=0,0))))))))))))))),"")</f>
        <v/>
      </c>
      <c r="AA25" s="43" t="str">
        <f aca="false">IF(AA19&lt;&gt;"",IF(AA19&gt;4096,15,IF(AA19&gt;2048,14,IF(AA19&gt;1024,13,IF(AA19&gt;512,12,IF(AA19&gt;256,11,IF(AA19&gt;128,10,IF(AA19&gt;64,9,IF(AA19&gt;32,8,IF(AA19&gt;16,7,IF(AA19&gt;8,6,IF(AA19&gt;4,5,IF(AA19&gt;2,4,IF(AA19&gt;1,3,IF(AA19=1,1,IF(AA19=0,0))))))))))))))),"")</f>
        <v/>
      </c>
      <c r="AB25" s="43" t="str">
        <f aca="false">IF(AB19&lt;&gt;"",IF(AB19&gt;4096,15,IF(AB19&gt;2048,14,IF(AB19&gt;1024,13,IF(AB19&gt;512,12,IF(AB19&gt;256,11,IF(AB19&gt;128,10,IF(AB19&gt;64,9,IF(AB19&gt;32,8,IF(AB19&gt;16,7,IF(AB19&gt;8,6,IF(AB19&gt;4,5,IF(AB19&gt;2,4,IF(AB19&gt;1,3,IF(AB19=1,1,IF(AB19=0,0))))))))))))))),"")</f>
        <v/>
      </c>
      <c r="AC25" s="43" t="str">
        <f aca="false">IF(AC19&lt;&gt;"",IF(AC19&gt;4096,15,IF(AC19&gt;2048,14,IF(AC19&gt;1024,13,IF(AC19&gt;512,12,IF(AC19&gt;256,11,IF(AC19&gt;128,10,IF(AC19&gt;64,9,IF(AC19&gt;32,8,IF(AC19&gt;16,7,IF(AC19&gt;8,6,IF(AC19&gt;4,5,IF(AC19&gt;2,4,IF(AC19&gt;1,3,IF(AC19=1,1,IF(AC19=0,0))))))))))))))),"")</f>
        <v/>
      </c>
      <c r="AD25" s="43" t="str">
        <f aca="false">IF(AD19&lt;&gt;"",IF(AD19&gt;4096,15,IF(AD19&gt;2048,14,IF(AD19&gt;1024,13,IF(AD19&gt;512,12,IF(AD19&gt;256,11,IF(AD19&gt;128,10,IF(AD19&gt;64,9,IF(AD19&gt;32,8,IF(AD19&gt;16,7,IF(AD19&gt;8,6,IF(AD19&gt;4,5,IF(AD19&gt;2,4,IF(AD19&gt;1,3,IF(AD19=1,1,IF(AD19=0,0))))))))))))))),"")</f>
        <v/>
      </c>
      <c r="AE25" s="43" t="str">
        <f aca="false">IF(AE19&lt;&gt;"",IF(AE19&gt;4096,15,IF(AE19&gt;2048,14,IF(AE19&gt;1024,13,IF(AE19&gt;512,12,IF(AE19&gt;256,11,IF(AE19&gt;128,10,IF(AE19&gt;64,9,IF(AE19&gt;32,8,IF(AE19&gt;16,7,IF(AE19&gt;8,6,IF(AE19&gt;4,5,IF(AE19&gt;2,4,IF(AE19&gt;1,3,IF(AE19=1,1,IF(AE19=0,0))))))))))))))),"")</f>
        <v/>
      </c>
      <c r="AF25" s="43" t="str">
        <f aca="false">IF(AF19&lt;&gt;"",IF(AF19&gt;4096,15,IF(AF19&gt;2048,14,IF(AF19&gt;1024,13,IF(AF19&gt;512,12,IF(AF19&gt;256,11,IF(AF19&gt;128,10,IF(AF19&gt;64,9,IF(AF19&gt;32,8,IF(AF19&gt;16,7,IF(AF19&gt;8,6,IF(AF19&gt;4,5,IF(AF19&gt;2,4,IF(AF19&gt;1,3,IF(AF19=1,1,IF(AF19=0,0))))))))))))))),"")</f>
        <v/>
      </c>
      <c r="AG25" s="43" t="str">
        <f aca="false">IF(AG19&lt;&gt;"",IF(AG19&gt;4096,15,IF(AG19&gt;2048,14,IF(AG19&gt;1024,13,IF(AG19&gt;512,12,IF(AG19&gt;256,11,IF(AG19&gt;128,10,IF(AG19&gt;64,9,IF(AG19&gt;32,8,IF(AG19&gt;16,7,IF(AG19&gt;8,6,IF(AG19&gt;4,5,IF(AG19&gt;2,4,IF(AG19&gt;1,3,IF(AG19=1,1,IF(AG19=0,0))))))))))))))),"")</f>
        <v/>
      </c>
      <c r="AH25" s="43" t="str">
        <f aca="false">IF(AH19&lt;&gt;"",IF(AH19&gt;4096,15,IF(AH19&gt;2048,14,IF(AH19&gt;1024,13,IF(AH19&gt;512,12,IF(AH19&gt;256,11,IF(AH19&gt;128,10,IF(AH19&gt;64,9,IF(AH19&gt;32,8,IF(AH19&gt;16,7,IF(AH19&gt;8,6,IF(AH19&gt;4,5,IF(AH19&gt;2,4,IF(AH19&gt;1,3,IF(AH19=1,1,IF(AH19=0,0))))))))))))))),"")</f>
        <v/>
      </c>
      <c r="AI25" s="43" t="str">
        <f aca="false">IF(AI19&lt;&gt;"",IF(AI19&gt;4096,15,IF(AI19&gt;2048,14,IF(AI19&gt;1024,13,IF(AI19&gt;512,12,IF(AI19&gt;256,11,IF(AI19&gt;128,10,IF(AI19&gt;64,9,IF(AI19&gt;32,8,IF(AI19&gt;16,7,IF(AI19&gt;8,6,IF(AI19&gt;4,5,IF(AI19&gt;2,4,IF(AI19&gt;1,3,IF(AI19=1,1,IF(AI19=0,0))))))))))))))),"")</f>
        <v/>
      </c>
      <c r="AJ25" s="43" t="str">
        <f aca="false">IF(AJ19&lt;&gt;"",IF(AJ19&gt;4096,15,IF(AJ19&gt;2048,14,IF(AJ19&gt;1024,13,IF(AJ19&gt;512,12,IF(AJ19&gt;256,11,IF(AJ19&gt;128,10,IF(AJ19&gt;64,9,IF(AJ19&gt;32,8,IF(AJ19&gt;16,7,IF(AJ19&gt;8,6,IF(AJ19&gt;4,5,IF(AJ19&gt;2,4,IF(AJ19&gt;1,3,IF(AJ19=1,1,IF(AJ19=0,0))))))))))))))),"")</f>
        <v/>
      </c>
      <c r="AK25" s="44" t="str">
        <f aca="false">IF(AK19&lt;&gt;"",IF(AK19&gt;4096,15,IF(AK19&gt;2048,14,IF(AK19&gt;1024,13,IF(AK19&gt;512,12,IF(AK19&gt;256,11,IF(AK19&gt;128,10,IF(AK19&gt;64,9,IF(AK19&gt;32,8,IF(AK19&gt;16,7,IF(AK19&gt;8,6,IF(AK19&gt;4,5,IF(AK19&gt;2,4,IF(AK19&gt;1,3,IF(AK19=1,1,IF(AK19=0,0))))))))))))))),"")</f>
        <v/>
      </c>
      <c r="AL25" s="33"/>
      <c r="AM25" s="34"/>
      <c r="AN25" s="34"/>
      <c r="AO25" s="34"/>
      <c r="AP25" s="34"/>
      <c r="AQ25" s="34"/>
      <c r="AR25" s="40"/>
    </row>
    <row r="26" s="37" customFormat="true" ht="13.8" hidden="false" customHeight="false" outlineLevel="0" collapsed="false">
      <c r="A26" s="28"/>
      <c r="B26" s="36" t="s">
        <v>54</v>
      </c>
      <c r="C26" s="37" t="s">
        <v>41</v>
      </c>
      <c r="D26" s="45" t="s">
        <v>55</v>
      </c>
      <c r="E26" s="46" t="str">
        <f aca="false">IF(E14&lt;&gt;"",MAX(E20:E25),"")</f>
        <v/>
      </c>
      <c r="F26" s="46" t="str">
        <f aca="false">IF(F14&lt;&gt;"",MAX(F20:F25),"")</f>
        <v/>
      </c>
      <c r="G26" s="46" t="str">
        <f aca="false">IF(G14&lt;&gt;"",MAX(G20:G25),"")</f>
        <v/>
      </c>
      <c r="H26" s="46" t="str">
        <f aca="false">IF(H14&lt;&gt;"",MAX(H20:H25),"")</f>
        <v/>
      </c>
      <c r="I26" s="46" t="str">
        <f aca="false">IF(I14&lt;&gt;"",MAX(I20:I25),"")</f>
        <v/>
      </c>
      <c r="J26" s="46" t="str">
        <f aca="false">IF(J14&lt;&gt;"",MAX(J20:J25),"")</f>
        <v/>
      </c>
      <c r="K26" s="46" t="str">
        <f aca="false">IF(K14&lt;&gt;"",MAX(K20:K25),"")</f>
        <v/>
      </c>
      <c r="L26" s="46" t="str">
        <f aca="false">IF(L14&lt;&gt;"",MAX(L20:L25),"")</f>
        <v/>
      </c>
      <c r="M26" s="46" t="str">
        <f aca="false">IF(M14&lt;&gt;"",MAX(M20:M25),"")</f>
        <v/>
      </c>
      <c r="N26" s="46" t="str">
        <f aca="false">IF(N14&lt;&gt;"",MAX(N20:N25),"")</f>
        <v/>
      </c>
      <c r="O26" s="46" t="str">
        <f aca="false">IF(O14&lt;&gt;"",MAX(O20:O25),"")</f>
        <v/>
      </c>
      <c r="P26" s="46" t="str">
        <f aca="false">IF(P14&lt;&gt;"",MAX(P20:P25),"")</f>
        <v/>
      </c>
      <c r="Q26" s="46" t="str">
        <f aca="false">IF(Q14&lt;&gt;"",MAX(Q20:Q25),"")</f>
        <v/>
      </c>
      <c r="R26" s="46" t="str">
        <f aca="false">IF(R14&lt;&gt;"",MAX(R20:R25),"")</f>
        <v/>
      </c>
      <c r="S26" s="46" t="str">
        <f aca="false">IF(S14&lt;&gt;"",MAX(S20:S25),"")</f>
        <v/>
      </c>
      <c r="T26" s="46" t="str">
        <f aca="false">IF(T14&lt;&gt;"",MAX(T20:T25),"")</f>
        <v/>
      </c>
      <c r="U26" s="46" t="str">
        <f aca="false">IF(U14&lt;&gt;"",MAX(U20:U25),"")</f>
        <v/>
      </c>
      <c r="V26" s="46" t="str">
        <f aca="false">IF(V14&lt;&gt;"",MAX(V20:V25),"")</f>
        <v/>
      </c>
      <c r="W26" s="46" t="str">
        <f aca="false">IF(W14&lt;&gt;"",MAX(W20:W25),"")</f>
        <v/>
      </c>
      <c r="X26" s="46" t="str">
        <f aca="false">IF(X14&lt;&gt;"",MAX(X20:X25),"")</f>
        <v/>
      </c>
      <c r="Y26" s="46" t="str">
        <f aca="false">IF(Y14&lt;&gt;"",MAX(Y20:Y25),"")</f>
        <v/>
      </c>
      <c r="Z26" s="46" t="str">
        <f aca="false">IF(Z14&lt;&gt;"",MAX(Z20:Z25),"")</f>
        <v/>
      </c>
      <c r="AA26" s="46" t="str">
        <f aca="false">IF(AA14&lt;&gt;"",MAX(AA20:AA25),"")</f>
        <v/>
      </c>
      <c r="AB26" s="46" t="str">
        <f aca="false">IF(AB14&lt;&gt;"",MAX(AB20:AB25),"")</f>
        <v/>
      </c>
      <c r="AC26" s="46" t="str">
        <f aca="false">IF(AC14&lt;&gt;"",MAX(AC20:AC25),"")</f>
        <v/>
      </c>
      <c r="AD26" s="46" t="str">
        <f aca="false">IF(AD14&lt;&gt;"",MAX(AD20:AD25),"")</f>
        <v/>
      </c>
      <c r="AE26" s="46" t="str">
        <f aca="false">IF(AE14&lt;&gt;"",MAX(AE20:AE25),"")</f>
        <v/>
      </c>
      <c r="AF26" s="46" t="str">
        <f aca="false">IF(AF14&lt;&gt;"",MAX(AF20:AF25),"")</f>
        <v/>
      </c>
      <c r="AG26" s="46" t="str">
        <f aca="false">IF(AG14&lt;&gt;"",MAX(AG20:AG25),"")</f>
        <v/>
      </c>
      <c r="AH26" s="46" t="str">
        <f aca="false">IF(AH14&lt;&gt;"",MAX(AH20:AH25),"")</f>
        <v/>
      </c>
      <c r="AI26" s="46" t="str">
        <f aca="false">IF(AI14&lt;&gt;"",MAX(AI20:AI25),"")</f>
        <v/>
      </c>
      <c r="AJ26" s="46" t="str">
        <f aca="false">IF(AJ14&lt;&gt;"",MAX(AJ20:AJ25),"")</f>
        <v/>
      </c>
      <c r="AK26" s="46" t="str">
        <f aca="false">IF(AK14&lt;&gt;"",MAX(AK20:AK25),"")</f>
        <v/>
      </c>
      <c r="AL26" s="33"/>
      <c r="AM26" s="34"/>
      <c r="AN26" s="34"/>
      <c r="AO26" s="34"/>
      <c r="AP26" s="34"/>
      <c r="AQ26" s="34"/>
      <c r="AR26" s="40"/>
    </row>
    <row r="27" s="37" customFormat="true" ht="13.8" hidden="false" customHeight="false" outlineLevel="0" collapsed="false">
      <c r="A27" s="28"/>
      <c r="B27" s="36" t="s">
        <v>56</v>
      </c>
      <c r="C27" s="37" t="s">
        <v>42</v>
      </c>
      <c r="D27" s="37" t="s">
        <v>57</v>
      </c>
      <c r="E27" s="43" t="str">
        <f aca="false">IF(E14&lt;&gt;"",IF(E14&gt;1300000000,28,IF(E14&gt;640000000,27,IF(E14&gt;320000000,26,IF(E14&gt;16000000,25,IF(E14&gt;8000000,24,IF(E14&gt;4000000,23,IF(E14&gt;2000000,22,IF(E14&gt;1000000,21,IF(E14&gt;500000,20,IF(E14&gt;250000,19,IF(E14&gt;130000,18,IF(E14&gt;64000,17,IF(E14&gt;32000,16,IF(E14&gt;16000,15,IF(E14&gt;8000,14,IF(E14&gt;4000,13,IF(E14&gt;2000,12,IF(E14&gt;1000,11,IF(E14&gt;500,10,IF(E14&gt;250,9,IF(E14&gt;130,8,IF(E14&gt;64,7,IF(E14&gt;32,6,IF(E14&gt;16,5,IF(E14&gt;8,4,IF(E14&gt;4,3,IF(E14&gt;2,2,IF(E14&gt;1,1,IF(E14&gt;0.5,0,IF(E14=0,0)))))))))))))))))))))))))))))),"")</f>
        <v/>
      </c>
      <c r="F27" s="43" t="str">
        <f aca="false">IF(F14&lt;&gt;"",IF(F14&gt;1300000000,28,IF(F14&gt;640000000,27,IF(F14&gt;320000000,26,IF(F14&gt;16000000,25,IF(F14&gt;8000000,24,IF(F14&gt;4000000,23,IF(F14&gt;2000000,22,IF(F14&gt;1000000,21,IF(F14&gt;500000,20,IF(F14&gt;250000,19,IF(F14&gt;130000,18,IF(F14&gt;64000,17,IF(F14&gt;32000,16,IF(F14&gt;16000,15,IF(F14&gt;8000,14,IF(F14&gt;4000,13,IF(F14&gt;2000,12,IF(F14&gt;1000,11,IF(F14&gt;500,10,IF(F14&gt;250,9,IF(F14&gt;130,8,IF(F14&gt;64,7,IF(F14&gt;32,6,IF(F14&gt;16,5,IF(F14&gt;8,4,IF(F14&gt;4,3,IF(F14&gt;2,2,IF(F14&gt;1,1,IF(F14&gt;0.5,0,IF(F14=0,0)))))))))))))))))))))))))))))),"")</f>
        <v/>
      </c>
      <c r="G27" s="43" t="str">
        <f aca="false">IF(G14&lt;&gt;"",IF(G14&gt;1300000000,28,IF(G14&gt;640000000,27,IF(G14&gt;320000000,26,IF(G14&gt;16000000,25,IF(G14&gt;8000000,24,IF(G14&gt;4000000,23,IF(G14&gt;2000000,22,IF(G14&gt;1000000,21,IF(G14&gt;500000,20,IF(G14&gt;250000,19,IF(G14&gt;130000,18,IF(G14&gt;64000,17,IF(G14&gt;32000,16,IF(G14&gt;16000,15,IF(G14&gt;8000,14,IF(G14&gt;4000,13,IF(G14&gt;2000,12,IF(G14&gt;1000,11,IF(G14&gt;500,10,IF(G14&gt;250,9,IF(G14&gt;130,8,IF(G14&gt;64,7,IF(G14&gt;32,6,IF(G14&gt;16,5,IF(G14&gt;8,4,IF(G14&gt;4,3,IF(G14&gt;2,2,IF(G14&gt;1,1,IF(G14&gt;0.5,0,IF(G14=0,0)))))))))))))))))))))))))))))),"")</f>
        <v/>
      </c>
      <c r="H27" s="43" t="str">
        <f aca="false">IF(H14&lt;&gt;"",IF(H14&gt;1300000000,28,IF(H14&gt;640000000,27,IF(H14&gt;320000000,26,IF(H14&gt;16000000,25,IF(H14&gt;8000000,24,IF(H14&gt;4000000,23,IF(H14&gt;2000000,22,IF(H14&gt;1000000,21,IF(H14&gt;500000,20,IF(H14&gt;250000,19,IF(H14&gt;130000,18,IF(H14&gt;64000,17,IF(H14&gt;32000,16,IF(H14&gt;16000,15,IF(H14&gt;8000,14,IF(H14&gt;4000,13,IF(H14&gt;2000,12,IF(H14&gt;1000,11,IF(H14&gt;500,10,IF(H14&gt;250,9,IF(H14&gt;130,8,IF(H14&gt;64,7,IF(H14&gt;32,6,IF(H14&gt;16,5,IF(H14&gt;8,4,IF(H14&gt;4,3,IF(H14&gt;2,2,IF(H14&gt;1,1,IF(H14&gt;0.5,0,IF(H14=0,0)))))))))))))))))))))))))))))),"")</f>
        <v/>
      </c>
      <c r="I27" s="43" t="str">
        <f aca="false">IF(I14&lt;&gt;"",IF(I14&gt;1300000000,28,IF(I14&gt;640000000,27,IF(I14&gt;320000000,26,IF(I14&gt;16000000,25,IF(I14&gt;8000000,24,IF(I14&gt;4000000,23,IF(I14&gt;2000000,22,IF(I14&gt;1000000,21,IF(I14&gt;500000,20,IF(I14&gt;250000,19,IF(I14&gt;130000,18,IF(I14&gt;64000,17,IF(I14&gt;32000,16,IF(I14&gt;16000,15,IF(I14&gt;8000,14,IF(I14&gt;4000,13,IF(I14&gt;2000,12,IF(I14&gt;1000,11,IF(I14&gt;500,10,IF(I14&gt;250,9,IF(I14&gt;130,8,IF(I14&gt;64,7,IF(I14&gt;32,6,IF(I14&gt;16,5,IF(I14&gt;8,4,IF(I14&gt;4,3,IF(I14&gt;2,2,IF(I14&gt;1,1,IF(I14&gt;0.5,0,IF(I14=0,0)))))))))))))))))))))))))))))),"")</f>
        <v/>
      </c>
      <c r="J27" s="43" t="str">
        <f aca="false">IF(J14&lt;&gt;"",IF(J14&gt;1300000000,28,IF(J14&gt;640000000,27,IF(J14&gt;320000000,26,IF(J14&gt;16000000,25,IF(J14&gt;8000000,24,IF(J14&gt;4000000,23,IF(J14&gt;2000000,22,IF(J14&gt;1000000,21,IF(J14&gt;500000,20,IF(J14&gt;250000,19,IF(J14&gt;130000,18,IF(J14&gt;64000,17,IF(J14&gt;32000,16,IF(J14&gt;16000,15,IF(J14&gt;8000,14,IF(J14&gt;4000,13,IF(J14&gt;2000,12,IF(J14&gt;1000,11,IF(J14&gt;500,10,IF(J14&gt;250,9,IF(J14&gt;130,8,IF(J14&gt;64,7,IF(J14&gt;32,6,IF(J14&gt;16,5,IF(J14&gt;8,4,IF(J14&gt;4,3,IF(J14&gt;2,2,IF(J14&gt;1,1,IF(J14&gt;0.5,0,IF(J14=0,0)))))))))))))))))))))))))))))),"")</f>
        <v/>
      </c>
      <c r="K27" s="43" t="str">
        <f aca="false">IF(K14&lt;&gt;"",IF(K14&gt;1300000000,28,IF(K14&gt;640000000,27,IF(K14&gt;320000000,26,IF(K14&gt;16000000,25,IF(K14&gt;8000000,24,IF(K14&gt;4000000,23,IF(K14&gt;2000000,22,IF(K14&gt;1000000,21,IF(K14&gt;500000,20,IF(K14&gt;250000,19,IF(K14&gt;130000,18,IF(K14&gt;64000,17,IF(K14&gt;32000,16,IF(K14&gt;16000,15,IF(K14&gt;8000,14,IF(K14&gt;4000,13,IF(K14&gt;2000,12,IF(K14&gt;1000,11,IF(K14&gt;500,10,IF(K14&gt;250,9,IF(K14&gt;130,8,IF(K14&gt;64,7,IF(K14&gt;32,6,IF(K14&gt;16,5,IF(K14&gt;8,4,IF(K14&gt;4,3,IF(K14&gt;2,2,IF(K14&gt;1,1,IF(K14&gt;0.5,0,IF(K14=0,0)))))))))))))))))))))))))))))),"")</f>
        <v/>
      </c>
      <c r="L27" s="43" t="str">
        <f aca="false">IF(L14&lt;&gt;"",IF(L14&gt;1300000000,28,IF(L14&gt;640000000,27,IF(L14&gt;320000000,26,IF(L14&gt;16000000,25,IF(L14&gt;8000000,24,IF(L14&gt;4000000,23,IF(L14&gt;2000000,22,IF(L14&gt;1000000,21,IF(L14&gt;500000,20,IF(L14&gt;250000,19,IF(L14&gt;130000,18,IF(L14&gt;64000,17,IF(L14&gt;32000,16,IF(L14&gt;16000,15,IF(L14&gt;8000,14,IF(L14&gt;4000,13,IF(L14&gt;2000,12,IF(L14&gt;1000,11,IF(L14&gt;500,10,IF(L14&gt;250,9,IF(L14&gt;130,8,IF(L14&gt;64,7,IF(L14&gt;32,6,IF(L14&gt;16,5,IF(L14&gt;8,4,IF(L14&gt;4,3,IF(L14&gt;2,2,IF(L14&gt;1,1,IF(L14&gt;0.5,0,IF(L14=0,0)))))))))))))))))))))))))))))),"")</f>
        <v/>
      </c>
      <c r="M27" s="43" t="str">
        <f aca="false">IF(M14&lt;&gt;"",IF(M14&gt;1300000000,28,IF(M14&gt;640000000,27,IF(M14&gt;320000000,26,IF(M14&gt;16000000,25,IF(M14&gt;8000000,24,IF(M14&gt;4000000,23,IF(M14&gt;2000000,22,IF(M14&gt;1000000,21,IF(M14&gt;500000,20,IF(M14&gt;250000,19,IF(M14&gt;130000,18,IF(M14&gt;64000,17,IF(M14&gt;32000,16,IF(M14&gt;16000,15,IF(M14&gt;8000,14,IF(M14&gt;4000,13,IF(M14&gt;2000,12,IF(M14&gt;1000,11,IF(M14&gt;500,10,IF(M14&gt;250,9,IF(M14&gt;130,8,IF(M14&gt;64,7,IF(M14&gt;32,6,IF(M14&gt;16,5,IF(M14&gt;8,4,IF(M14&gt;4,3,IF(M14&gt;2,2,IF(M14&gt;1,1,IF(M14&gt;0.5,0,IF(M14=0,0)))))))))))))))))))))))))))))),"")</f>
        <v/>
      </c>
      <c r="N27" s="43" t="str">
        <f aca="false">IF(N14&lt;&gt;"",IF(N14&gt;1300000000,28,IF(N14&gt;640000000,27,IF(N14&gt;320000000,26,IF(N14&gt;16000000,25,IF(N14&gt;8000000,24,IF(N14&gt;4000000,23,IF(N14&gt;2000000,22,IF(N14&gt;1000000,21,IF(N14&gt;500000,20,IF(N14&gt;250000,19,IF(N14&gt;130000,18,IF(N14&gt;64000,17,IF(N14&gt;32000,16,IF(N14&gt;16000,15,IF(N14&gt;8000,14,IF(N14&gt;4000,13,IF(N14&gt;2000,12,IF(N14&gt;1000,11,IF(N14&gt;500,10,IF(N14&gt;250,9,IF(N14&gt;130,8,IF(N14&gt;64,7,IF(N14&gt;32,6,IF(N14&gt;16,5,IF(N14&gt;8,4,IF(N14&gt;4,3,IF(N14&gt;2,2,IF(N14&gt;1,1,IF(N14&gt;0.5,0,IF(N14=0,0)))))))))))))))))))))))))))))),"")</f>
        <v/>
      </c>
      <c r="O27" s="43" t="str">
        <f aca="false">IF(O14&lt;&gt;"",IF(O14&gt;1300000000,28,IF(O14&gt;640000000,27,IF(O14&gt;320000000,26,IF(O14&gt;16000000,25,IF(O14&gt;8000000,24,IF(O14&gt;4000000,23,IF(O14&gt;2000000,22,IF(O14&gt;1000000,21,IF(O14&gt;500000,20,IF(O14&gt;250000,19,IF(O14&gt;130000,18,IF(O14&gt;64000,17,IF(O14&gt;32000,16,IF(O14&gt;16000,15,IF(O14&gt;8000,14,IF(O14&gt;4000,13,IF(O14&gt;2000,12,IF(O14&gt;1000,11,IF(O14&gt;500,10,IF(O14&gt;250,9,IF(O14&gt;130,8,IF(O14&gt;64,7,IF(O14&gt;32,6,IF(O14&gt;16,5,IF(O14&gt;8,4,IF(O14&gt;4,3,IF(O14&gt;2,2,IF(O14&gt;1,1,IF(O14&gt;0.5,0,IF(O14=0,0)))))))))))))))))))))))))))))),"")</f>
        <v/>
      </c>
      <c r="P27" s="43" t="str">
        <f aca="false">IF(P14&lt;&gt;"",IF(P14&gt;1300000000,28,IF(P14&gt;640000000,27,IF(P14&gt;320000000,26,IF(P14&gt;16000000,25,IF(P14&gt;8000000,24,IF(P14&gt;4000000,23,IF(P14&gt;2000000,22,IF(P14&gt;1000000,21,IF(P14&gt;500000,20,IF(P14&gt;250000,19,IF(P14&gt;130000,18,IF(P14&gt;64000,17,IF(P14&gt;32000,16,IF(P14&gt;16000,15,IF(P14&gt;8000,14,IF(P14&gt;4000,13,IF(P14&gt;2000,12,IF(P14&gt;1000,11,IF(P14&gt;500,10,IF(P14&gt;250,9,IF(P14&gt;130,8,IF(P14&gt;64,7,IF(P14&gt;32,6,IF(P14&gt;16,5,IF(P14&gt;8,4,IF(P14&gt;4,3,IF(P14&gt;2,2,IF(P14&gt;1,1,IF(P14&gt;0.5,0,IF(P14=0,0)))))))))))))))))))))))))))))),"")</f>
        <v/>
      </c>
      <c r="Q27" s="43" t="str">
        <f aca="false">IF(Q14&lt;&gt;"",IF(Q14&gt;1300000000,28,IF(Q14&gt;640000000,27,IF(Q14&gt;320000000,26,IF(Q14&gt;16000000,25,IF(Q14&gt;8000000,24,IF(Q14&gt;4000000,23,IF(Q14&gt;2000000,22,IF(Q14&gt;1000000,21,IF(Q14&gt;500000,20,IF(Q14&gt;250000,19,IF(Q14&gt;130000,18,IF(Q14&gt;64000,17,IF(Q14&gt;32000,16,IF(Q14&gt;16000,15,IF(Q14&gt;8000,14,IF(Q14&gt;4000,13,IF(Q14&gt;2000,12,IF(Q14&gt;1000,11,IF(Q14&gt;500,10,IF(Q14&gt;250,9,IF(Q14&gt;130,8,IF(Q14&gt;64,7,IF(Q14&gt;32,6,IF(Q14&gt;16,5,IF(Q14&gt;8,4,IF(Q14&gt;4,3,IF(Q14&gt;2,2,IF(Q14&gt;1,1,IF(Q14&gt;0.5,0,IF(Q14=0,0)))))))))))))))))))))))))))))),"")</f>
        <v/>
      </c>
      <c r="R27" s="43" t="str">
        <f aca="false">IF(R14&lt;&gt;"",IF(R14&gt;1300000000,28,IF(R14&gt;640000000,27,IF(R14&gt;320000000,26,IF(R14&gt;16000000,25,IF(R14&gt;8000000,24,IF(R14&gt;4000000,23,IF(R14&gt;2000000,22,IF(R14&gt;1000000,21,IF(R14&gt;500000,20,IF(R14&gt;250000,19,IF(R14&gt;130000,18,IF(R14&gt;64000,17,IF(R14&gt;32000,16,IF(R14&gt;16000,15,IF(R14&gt;8000,14,IF(R14&gt;4000,13,IF(R14&gt;2000,12,IF(R14&gt;1000,11,IF(R14&gt;500,10,IF(R14&gt;250,9,IF(R14&gt;130,8,IF(R14&gt;64,7,IF(R14&gt;32,6,IF(R14&gt;16,5,IF(R14&gt;8,4,IF(R14&gt;4,3,IF(R14&gt;2,2,IF(R14&gt;1,1,IF(R14&gt;0.5,0,IF(R14=0,0)))))))))))))))))))))))))))))),"")</f>
        <v/>
      </c>
      <c r="S27" s="43" t="str">
        <f aca="false">IF(S14&lt;&gt;"",IF(S14&gt;1300000000,28,IF(S14&gt;640000000,27,IF(S14&gt;320000000,26,IF(S14&gt;16000000,25,IF(S14&gt;8000000,24,IF(S14&gt;4000000,23,IF(S14&gt;2000000,22,IF(S14&gt;1000000,21,IF(S14&gt;500000,20,IF(S14&gt;250000,19,IF(S14&gt;130000,18,IF(S14&gt;64000,17,IF(S14&gt;32000,16,IF(S14&gt;16000,15,IF(S14&gt;8000,14,IF(S14&gt;4000,13,IF(S14&gt;2000,12,IF(S14&gt;1000,11,IF(S14&gt;500,10,IF(S14&gt;250,9,IF(S14&gt;130,8,IF(S14&gt;64,7,IF(S14&gt;32,6,IF(S14&gt;16,5,IF(S14&gt;8,4,IF(S14&gt;4,3,IF(S14&gt;2,2,IF(S14&gt;1,1,IF(S14&gt;0.5,0,IF(S14=0,0)))))))))))))))))))))))))))))),"")</f>
        <v/>
      </c>
      <c r="T27" s="43" t="str">
        <f aca="false">IF(T14&lt;&gt;"",IF(T14&gt;1300000000,28,IF(T14&gt;640000000,27,IF(T14&gt;320000000,26,IF(T14&gt;16000000,25,IF(T14&gt;8000000,24,IF(T14&gt;4000000,23,IF(T14&gt;2000000,22,IF(T14&gt;1000000,21,IF(T14&gt;500000,20,IF(T14&gt;250000,19,IF(T14&gt;130000,18,IF(T14&gt;64000,17,IF(T14&gt;32000,16,IF(T14&gt;16000,15,IF(T14&gt;8000,14,IF(T14&gt;4000,13,IF(T14&gt;2000,12,IF(T14&gt;1000,11,IF(T14&gt;500,10,IF(T14&gt;250,9,IF(T14&gt;130,8,IF(T14&gt;64,7,IF(T14&gt;32,6,IF(T14&gt;16,5,IF(T14&gt;8,4,IF(T14&gt;4,3,IF(T14&gt;2,2,IF(T14&gt;1,1,IF(T14&gt;0.5,0,IF(T14=0,0)))))))))))))))))))))))))))))),"")</f>
        <v/>
      </c>
      <c r="U27" s="43" t="str">
        <f aca="false">IF(U14&lt;&gt;"",IF(U14&gt;1300000000,28,IF(U14&gt;640000000,27,IF(U14&gt;320000000,26,IF(U14&gt;16000000,25,IF(U14&gt;8000000,24,IF(U14&gt;4000000,23,IF(U14&gt;2000000,22,IF(U14&gt;1000000,21,IF(U14&gt;500000,20,IF(U14&gt;250000,19,IF(U14&gt;130000,18,IF(U14&gt;64000,17,IF(U14&gt;32000,16,IF(U14&gt;16000,15,IF(U14&gt;8000,14,IF(U14&gt;4000,13,IF(U14&gt;2000,12,IF(U14&gt;1000,11,IF(U14&gt;500,10,IF(U14&gt;250,9,IF(U14&gt;130,8,IF(U14&gt;64,7,IF(U14&gt;32,6,IF(U14&gt;16,5,IF(U14&gt;8,4,IF(U14&gt;4,3,IF(U14&gt;2,2,IF(U14&gt;1,1,IF(U14&gt;0.5,0,IF(U14=0,0)))))))))))))))))))))))))))))),"")</f>
        <v/>
      </c>
      <c r="V27" s="43" t="str">
        <f aca="false">IF(V14&lt;&gt;"",IF(V14&gt;1300000000,28,IF(V14&gt;640000000,27,IF(V14&gt;320000000,26,IF(V14&gt;16000000,25,IF(V14&gt;8000000,24,IF(V14&gt;4000000,23,IF(V14&gt;2000000,22,IF(V14&gt;1000000,21,IF(V14&gt;500000,20,IF(V14&gt;250000,19,IF(V14&gt;130000,18,IF(V14&gt;64000,17,IF(V14&gt;32000,16,IF(V14&gt;16000,15,IF(V14&gt;8000,14,IF(V14&gt;4000,13,IF(V14&gt;2000,12,IF(V14&gt;1000,11,IF(V14&gt;500,10,IF(V14&gt;250,9,IF(V14&gt;130,8,IF(V14&gt;64,7,IF(V14&gt;32,6,IF(V14&gt;16,5,IF(V14&gt;8,4,IF(V14&gt;4,3,IF(V14&gt;2,2,IF(V14&gt;1,1,IF(V14&gt;0.5,0,IF(V14=0,0)))))))))))))))))))))))))))))),"")</f>
        <v/>
      </c>
      <c r="W27" s="43" t="str">
        <f aca="false">IF(W14&lt;&gt;"",IF(W14&gt;1300000000,28,IF(W14&gt;640000000,27,IF(W14&gt;320000000,26,IF(W14&gt;16000000,25,IF(W14&gt;8000000,24,IF(W14&gt;4000000,23,IF(W14&gt;2000000,22,IF(W14&gt;1000000,21,IF(W14&gt;500000,20,IF(W14&gt;250000,19,IF(W14&gt;130000,18,IF(W14&gt;64000,17,IF(W14&gt;32000,16,IF(W14&gt;16000,15,IF(W14&gt;8000,14,IF(W14&gt;4000,13,IF(W14&gt;2000,12,IF(W14&gt;1000,11,IF(W14&gt;500,10,IF(W14&gt;250,9,IF(W14&gt;130,8,IF(W14&gt;64,7,IF(W14&gt;32,6,IF(W14&gt;16,5,IF(W14&gt;8,4,IF(W14&gt;4,3,IF(W14&gt;2,2,IF(W14&gt;1,1,IF(W14&gt;0.5,0,IF(W14=0,0)))))))))))))))))))))))))))))),"")</f>
        <v/>
      </c>
      <c r="X27" s="43" t="str">
        <f aca="false">IF(X14&lt;&gt;"",IF(X14&gt;1300000000,28,IF(X14&gt;640000000,27,IF(X14&gt;320000000,26,IF(X14&gt;16000000,25,IF(X14&gt;8000000,24,IF(X14&gt;4000000,23,IF(X14&gt;2000000,22,IF(X14&gt;1000000,21,IF(X14&gt;500000,20,IF(X14&gt;250000,19,IF(X14&gt;130000,18,IF(X14&gt;64000,17,IF(X14&gt;32000,16,IF(X14&gt;16000,15,IF(X14&gt;8000,14,IF(X14&gt;4000,13,IF(X14&gt;2000,12,IF(X14&gt;1000,11,IF(X14&gt;500,10,IF(X14&gt;250,9,IF(X14&gt;130,8,IF(X14&gt;64,7,IF(X14&gt;32,6,IF(X14&gt;16,5,IF(X14&gt;8,4,IF(X14&gt;4,3,IF(X14&gt;2,2,IF(X14&gt;1,1,IF(X14&gt;0.5,0,IF(X14=0,0)))))))))))))))))))))))))))))),"")</f>
        <v/>
      </c>
      <c r="Y27" s="43" t="str">
        <f aca="false">IF(Y14&lt;&gt;"",IF(Y14&gt;1300000000,28,IF(Y14&gt;640000000,27,IF(Y14&gt;320000000,26,IF(Y14&gt;16000000,25,IF(Y14&gt;8000000,24,IF(Y14&gt;4000000,23,IF(Y14&gt;2000000,22,IF(Y14&gt;1000000,21,IF(Y14&gt;500000,20,IF(Y14&gt;250000,19,IF(Y14&gt;130000,18,IF(Y14&gt;64000,17,IF(Y14&gt;32000,16,IF(Y14&gt;16000,15,IF(Y14&gt;8000,14,IF(Y14&gt;4000,13,IF(Y14&gt;2000,12,IF(Y14&gt;1000,11,IF(Y14&gt;500,10,IF(Y14&gt;250,9,IF(Y14&gt;130,8,IF(Y14&gt;64,7,IF(Y14&gt;32,6,IF(Y14&gt;16,5,IF(Y14&gt;8,4,IF(Y14&gt;4,3,IF(Y14&gt;2,2,IF(Y14&gt;1,1,IF(Y14&gt;0.5,0,IF(Y14=0,0)))))))))))))))))))))))))))))),"")</f>
        <v/>
      </c>
      <c r="Z27" s="43" t="str">
        <f aca="false">IF(Z14&lt;&gt;"",IF(Z14&gt;1300000000,28,IF(Z14&gt;640000000,27,IF(Z14&gt;320000000,26,IF(Z14&gt;16000000,25,IF(Z14&gt;8000000,24,IF(Z14&gt;4000000,23,IF(Z14&gt;2000000,22,IF(Z14&gt;1000000,21,IF(Z14&gt;500000,20,IF(Z14&gt;250000,19,IF(Z14&gt;130000,18,IF(Z14&gt;64000,17,IF(Z14&gt;32000,16,IF(Z14&gt;16000,15,IF(Z14&gt;8000,14,IF(Z14&gt;4000,13,IF(Z14&gt;2000,12,IF(Z14&gt;1000,11,IF(Z14&gt;500,10,IF(Z14&gt;250,9,IF(Z14&gt;130,8,IF(Z14&gt;64,7,IF(Z14&gt;32,6,IF(Z14&gt;16,5,IF(Z14&gt;8,4,IF(Z14&gt;4,3,IF(Z14&gt;2,2,IF(Z14&gt;1,1,IF(Z14&gt;0.5,0,IF(Z14=0,0)))))))))))))))))))))))))))))),"")</f>
        <v/>
      </c>
      <c r="AA27" s="43" t="str">
        <f aca="false">IF(AA14&lt;&gt;"",IF(AA14&gt;1300000000,28,IF(AA14&gt;640000000,27,IF(AA14&gt;320000000,26,IF(AA14&gt;16000000,25,IF(AA14&gt;8000000,24,IF(AA14&gt;4000000,23,IF(AA14&gt;2000000,22,IF(AA14&gt;1000000,21,IF(AA14&gt;500000,20,IF(AA14&gt;250000,19,IF(AA14&gt;130000,18,IF(AA14&gt;64000,17,IF(AA14&gt;32000,16,IF(AA14&gt;16000,15,IF(AA14&gt;8000,14,IF(AA14&gt;4000,13,IF(AA14&gt;2000,12,IF(AA14&gt;1000,11,IF(AA14&gt;500,10,IF(AA14&gt;250,9,IF(AA14&gt;130,8,IF(AA14&gt;64,7,IF(AA14&gt;32,6,IF(AA14&gt;16,5,IF(AA14&gt;8,4,IF(AA14&gt;4,3,IF(AA14&gt;2,2,IF(AA14&gt;1,1,IF(AA14&gt;0.5,0,IF(AA14=0,0)))))))))))))))))))))))))))))),"")</f>
        <v/>
      </c>
      <c r="AB27" s="43" t="str">
        <f aca="false">IF(AB14&lt;&gt;"",IF(AB14&gt;1300000000,28,IF(AB14&gt;640000000,27,IF(AB14&gt;320000000,26,IF(AB14&gt;16000000,25,IF(AB14&gt;8000000,24,IF(AB14&gt;4000000,23,IF(AB14&gt;2000000,22,IF(AB14&gt;1000000,21,IF(AB14&gt;500000,20,IF(AB14&gt;250000,19,IF(AB14&gt;130000,18,IF(AB14&gt;64000,17,IF(AB14&gt;32000,16,IF(AB14&gt;16000,15,IF(AB14&gt;8000,14,IF(AB14&gt;4000,13,IF(AB14&gt;2000,12,IF(AB14&gt;1000,11,IF(AB14&gt;500,10,IF(AB14&gt;250,9,IF(AB14&gt;130,8,IF(AB14&gt;64,7,IF(AB14&gt;32,6,IF(AB14&gt;16,5,IF(AB14&gt;8,4,IF(AB14&gt;4,3,IF(AB14&gt;2,2,IF(AB14&gt;1,1,IF(AB14&gt;0.5,0,IF(AB14=0,0)))))))))))))))))))))))))))))),"")</f>
        <v/>
      </c>
      <c r="AC27" s="43" t="str">
        <f aca="false">IF(AC14&lt;&gt;"",IF(AC14&gt;1300000000,28,IF(AC14&gt;640000000,27,IF(AC14&gt;320000000,26,IF(AC14&gt;16000000,25,IF(AC14&gt;8000000,24,IF(AC14&gt;4000000,23,IF(AC14&gt;2000000,22,IF(AC14&gt;1000000,21,IF(AC14&gt;500000,20,IF(AC14&gt;250000,19,IF(AC14&gt;130000,18,IF(AC14&gt;64000,17,IF(AC14&gt;32000,16,IF(AC14&gt;16000,15,IF(AC14&gt;8000,14,IF(AC14&gt;4000,13,IF(AC14&gt;2000,12,IF(AC14&gt;1000,11,IF(AC14&gt;500,10,IF(AC14&gt;250,9,IF(AC14&gt;130,8,IF(AC14&gt;64,7,IF(AC14&gt;32,6,IF(AC14&gt;16,5,IF(AC14&gt;8,4,IF(AC14&gt;4,3,IF(AC14&gt;2,2,IF(AC14&gt;1,1,IF(AC14&gt;0.5,0,IF(AC14=0,0)))))))))))))))))))))))))))))),"")</f>
        <v/>
      </c>
      <c r="AD27" s="43" t="str">
        <f aca="false">IF(AD14&lt;&gt;"",IF(AD14&gt;1300000000,28,IF(AD14&gt;640000000,27,IF(AD14&gt;320000000,26,IF(AD14&gt;16000000,25,IF(AD14&gt;8000000,24,IF(AD14&gt;4000000,23,IF(AD14&gt;2000000,22,IF(AD14&gt;1000000,21,IF(AD14&gt;500000,20,IF(AD14&gt;250000,19,IF(AD14&gt;130000,18,IF(AD14&gt;64000,17,IF(AD14&gt;32000,16,IF(AD14&gt;16000,15,IF(AD14&gt;8000,14,IF(AD14&gt;4000,13,IF(AD14&gt;2000,12,IF(AD14&gt;1000,11,IF(AD14&gt;500,10,IF(AD14&gt;250,9,IF(AD14&gt;130,8,IF(AD14&gt;64,7,IF(AD14&gt;32,6,IF(AD14&gt;16,5,IF(AD14&gt;8,4,IF(AD14&gt;4,3,IF(AD14&gt;2,2,IF(AD14&gt;1,1,IF(AD14&gt;0.5,0,IF(AD14=0,0)))))))))))))))))))))))))))))),"")</f>
        <v/>
      </c>
      <c r="AE27" s="43" t="str">
        <f aca="false">IF(AE14&lt;&gt;"",IF(AE14&gt;1300000000,28,IF(AE14&gt;640000000,27,IF(AE14&gt;320000000,26,IF(AE14&gt;16000000,25,IF(AE14&gt;8000000,24,IF(AE14&gt;4000000,23,IF(AE14&gt;2000000,22,IF(AE14&gt;1000000,21,IF(AE14&gt;500000,20,IF(AE14&gt;250000,19,IF(AE14&gt;130000,18,IF(AE14&gt;64000,17,IF(AE14&gt;32000,16,IF(AE14&gt;16000,15,IF(AE14&gt;8000,14,IF(AE14&gt;4000,13,IF(AE14&gt;2000,12,IF(AE14&gt;1000,11,IF(AE14&gt;500,10,IF(AE14&gt;250,9,IF(AE14&gt;130,8,IF(AE14&gt;64,7,IF(AE14&gt;32,6,IF(AE14&gt;16,5,IF(AE14&gt;8,4,IF(AE14&gt;4,3,IF(AE14&gt;2,2,IF(AE14&gt;1,1,IF(AE14&gt;0.5,0,IF(AE14=0,0)))))))))))))))))))))))))))))),"")</f>
        <v/>
      </c>
      <c r="AF27" s="43" t="str">
        <f aca="false">IF(AF14&lt;&gt;"",IF(AF14&gt;1300000000,28,IF(AF14&gt;640000000,27,IF(AF14&gt;320000000,26,IF(AF14&gt;16000000,25,IF(AF14&gt;8000000,24,IF(AF14&gt;4000000,23,IF(AF14&gt;2000000,22,IF(AF14&gt;1000000,21,IF(AF14&gt;500000,20,IF(AF14&gt;250000,19,IF(AF14&gt;130000,18,IF(AF14&gt;64000,17,IF(AF14&gt;32000,16,IF(AF14&gt;16000,15,IF(AF14&gt;8000,14,IF(AF14&gt;4000,13,IF(AF14&gt;2000,12,IF(AF14&gt;1000,11,IF(AF14&gt;500,10,IF(AF14&gt;250,9,IF(AF14&gt;130,8,IF(AF14&gt;64,7,IF(AF14&gt;32,6,IF(AF14&gt;16,5,IF(AF14&gt;8,4,IF(AF14&gt;4,3,IF(AF14&gt;2,2,IF(AF14&gt;1,1,IF(AF14&gt;0.5,0,IF(AF14=0,0)))))))))))))))))))))))))))))),"")</f>
        <v/>
      </c>
      <c r="AG27" s="43" t="str">
        <f aca="false">IF(AG14&lt;&gt;"",IF(AG14&gt;1300000000,28,IF(AG14&gt;640000000,27,IF(AG14&gt;320000000,26,IF(AG14&gt;16000000,25,IF(AG14&gt;8000000,24,IF(AG14&gt;4000000,23,IF(AG14&gt;2000000,22,IF(AG14&gt;1000000,21,IF(AG14&gt;500000,20,IF(AG14&gt;250000,19,IF(AG14&gt;130000,18,IF(AG14&gt;64000,17,IF(AG14&gt;32000,16,IF(AG14&gt;16000,15,IF(AG14&gt;8000,14,IF(AG14&gt;4000,13,IF(AG14&gt;2000,12,IF(AG14&gt;1000,11,IF(AG14&gt;500,10,IF(AG14&gt;250,9,IF(AG14&gt;130,8,IF(AG14&gt;64,7,IF(AG14&gt;32,6,IF(AG14&gt;16,5,IF(AG14&gt;8,4,IF(AG14&gt;4,3,IF(AG14&gt;2,2,IF(AG14&gt;1,1,IF(AG14&gt;0.5,0,IF(AG14=0,0)))))))))))))))))))))))))))))),"")</f>
        <v/>
      </c>
      <c r="AH27" s="43" t="str">
        <f aca="false">IF(AH14&lt;&gt;"",IF(AH14&gt;1300000000,28,IF(AH14&gt;640000000,27,IF(AH14&gt;320000000,26,IF(AH14&gt;16000000,25,IF(AH14&gt;8000000,24,IF(AH14&gt;4000000,23,IF(AH14&gt;2000000,22,IF(AH14&gt;1000000,21,IF(AH14&gt;500000,20,IF(AH14&gt;250000,19,IF(AH14&gt;130000,18,IF(AH14&gt;64000,17,IF(AH14&gt;32000,16,IF(AH14&gt;16000,15,IF(AH14&gt;8000,14,IF(AH14&gt;4000,13,IF(AH14&gt;2000,12,IF(AH14&gt;1000,11,IF(AH14&gt;500,10,IF(AH14&gt;250,9,IF(AH14&gt;130,8,IF(AH14&gt;64,7,IF(AH14&gt;32,6,IF(AH14&gt;16,5,IF(AH14&gt;8,4,IF(AH14&gt;4,3,IF(AH14&gt;2,2,IF(AH14&gt;1,1,IF(AH14&gt;0.5,0,IF(AH14=0,0)))))))))))))))))))))))))))))),"")</f>
        <v/>
      </c>
      <c r="AI27" s="43" t="str">
        <f aca="false">IF(AI14&lt;&gt;"",IF(AI14&gt;1300000000,28,IF(AI14&gt;640000000,27,IF(AI14&gt;320000000,26,IF(AI14&gt;16000000,25,IF(AI14&gt;8000000,24,IF(AI14&gt;4000000,23,IF(AI14&gt;2000000,22,IF(AI14&gt;1000000,21,IF(AI14&gt;500000,20,IF(AI14&gt;250000,19,IF(AI14&gt;130000,18,IF(AI14&gt;64000,17,IF(AI14&gt;32000,16,IF(AI14&gt;16000,15,IF(AI14&gt;8000,14,IF(AI14&gt;4000,13,IF(AI14&gt;2000,12,IF(AI14&gt;1000,11,IF(AI14&gt;500,10,IF(AI14&gt;250,9,IF(AI14&gt;130,8,IF(AI14&gt;64,7,IF(AI14&gt;32,6,IF(AI14&gt;16,5,IF(AI14&gt;8,4,IF(AI14&gt;4,3,IF(AI14&gt;2,2,IF(AI14&gt;1,1,IF(AI14&gt;0.5,0,IF(AI14=0,0)))))))))))))))))))))))))))))),"")</f>
        <v/>
      </c>
      <c r="AJ27" s="43" t="str">
        <f aca="false">IF(AJ14&lt;&gt;"",IF(AJ14&gt;1300000000,28,IF(AJ14&gt;640000000,27,IF(AJ14&gt;320000000,26,IF(AJ14&gt;16000000,25,IF(AJ14&gt;8000000,24,IF(AJ14&gt;4000000,23,IF(AJ14&gt;2000000,22,IF(AJ14&gt;1000000,21,IF(AJ14&gt;500000,20,IF(AJ14&gt;250000,19,IF(AJ14&gt;130000,18,IF(AJ14&gt;64000,17,IF(AJ14&gt;32000,16,IF(AJ14&gt;16000,15,IF(AJ14&gt;8000,14,IF(AJ14&gt;4000,13,IF(AJ14&gt;2000,12,IF(AJ14&gt;1000,11,IF(AJ14&gt;500,10,IF(AJ14&gt;250,9,IF(AJ14&gt;130,8,IF(AJ14&gt;64,7,IF(AJ14&gt;32,6,IF(AJ14&gt;16,5,IF(AJ14&gt;8,4,IF(AJ14&gt;4,3,IF(AJ14&gt;2,2,IF(AJ14&gt;1,1,IF(AJ14&gt;0.5,0,IF(AJ14=0,0)))))))))))))))))))))))))))))),"")</f>
        <v/>
      </c>
      <c r="AK27" s="43" t="str">
        <f aca="false">IF(AK14&lt;&gt;"",IF(AK14&gt;1300000000,28,IF(AK14&gt;640000000,27,IF(AK14&gt;320000000,26,IF(AK14&gt;16000000,25,IF(AK14&gt;8000000,24,IF(AK14&gt;4000000,23,IF(AK14&gt;2000000,22,IF(AK14&gt;1000000,21,IF(AK14&gt;500000,20,IF(AK14&gt;250000,19,IF(AK14&gt;130000,18,IF(AK14&gt;64000,17,IF(AK14&gt;32000,16,IF(AK14&gt;16000,15,IF(AK14&gt;8000,14,IF(AK14&gt;4000,13,IF(AK14&gt;2000,12,IF(AK14&gt;1000,11,IF(AK14&gt;500,10,IF(AK14&gt;250,9,IF(AK14&gt;130,8,IF(AK14&gt;64,7,IF(AK14&gt;32,6,IF(AK14&gt;16,5,IF(AK14&gt;8,4,IF(AK14&gt;4,3,IF(AK14&gt;2,2,IF(AK14&gt;1,1,IF(AK14&gt;0.5,0,IF(AK14=0,0)))))))))))))))))))))))))))))),"")</f>
        <v/>
      </c>
      <c r="AL27" s="33"/>
      <c r="AM27" s="34"/>
      <c r="AN27" s="34"/>
      <c r="AO27" s="34"/>
      <c r="AP27" s="34"/>
      <c r="AQ27" s="34"/>
      <c r="AR27" s="40"/>
    </row>
    <row r="28" s="37" customFormat="true" ht="13.8" hidden="false" customHeight="false" outlineLevel="0" collapsed="false">
      <c r="A28" s="28"/>
      <c r="B28" s="36" t="s">
        <v>56</v>
      </c>
      <c r="C28" s="37" t="s">
        <v>44</v>
      </c>
      <c r="D28" s="37" t="s">
        <v>58</v>
      </c>
      <c r="E28" s="43" t="str">
        <f aca="false">IF(E15&lt;&gt;"",IF(E15&gt;1300000000,28,IF(E15&gt;640000000,27,IF(E15&gt;320000000,26,IF(E15&gt;16000000,25,IF(E15&gt;8000000,24,IF(E15&gt;4000000,23,IF(E15&gt;2000000,22,IF(E15&gt;1000000,21,IF(E15&gt;500000,20,IF(E15&gt;250000,19,IF(E15&gt;130000,18,IF(E15&gt;64000,17,IF(E15&gt;32000,16,IF(E15&gt;16000,15,IF(E15&gt;8000,14,IF(E15&gt;4000,13,IF(E15&gt;2000,12,IF(E15&gt;1000,11,IF(E15&gt;500,10,IF(E15&gt;250,9,IF(E15&gt;130,8,IF(E15&gt;64,7,IF(E15&gt;32,6,IF(E15&gt;16,5,IF(E15&gt;8,4,IF(E15&gt;4,3,IF(E15&gt;2,2,IF(E15&gt;1,1,IF(E15&gt;0.5,0,IF(E15=0,0)))))))))))))))))))))))))))))),"")</f>
        <v/>
      </c>
      <c r="F28" s="43" t="str">
        <f aca="false">IF(F15&lt;&gt;"",IF(F15&gt;1300000000,28,IF(F15&gt;640000000,27,IF(F15&gt;320000000,26,IF(F15&gt;16000000,25,IF(F15&gt;8000000,24,IF(F15&gt;4000000,23,IF(F15&gt;2000000,22,IF(F15&gt;1000000,21,IF(F15&gt;500000,20,IF(F15&gt;250000,19,IF(F15&gt;130000,18,IF(F15&gt;64000,17,IF(F15&gt;32000,16,IF(F15&gt;16000,15,IF(F15&gt;8000,14,IF(F15&gt;4000,13,IF(F15&gt;2000,12,IF(F15&gt;1000,11,IF(F15&gt;500,10,IF(F15&gt;250,9,IF(F15&gt;130,8,IF(F15&gt;64,7,IF(F15&gt;32,6,IF(F15&gt;16,5,IF(F15&gt;8,4,IF(F15&gt;4,3,IF(F15&gt;2,2,IF(F15&gt;1,1,IF(F15&gt;0.5,0,IF(F15=0,0)))))))))))))))))))))))))))))),"")</f>
        <v/>
      </c>
      <c r="G28" s="43" t="str">
        <f aca="false">IF(G15&lt;&gt;"",IF(G15&gt;1300000000,28,IF(G15&gt;640000000,27,IF(G15&gt;320000000,26,IF(G15&gt;16000000,25,IF(G15&gt;8000000,24,IF(G15&gt;4000000,23,IF(G15&gt;2000000,22,IF(G15&gt;1000000,21,IF(G15&gt;500000,20,IF(G15&gt;250000,19,IF(G15&gt;130000,18,IF(G15&gt;64000,17,IF(G15&gt;32000,16,IF(G15&gt;16000,15,IF(G15&gt;8000,14,IF(G15&gt;4000,13,IF(G15&gt;2000,12,IF(G15&gt;1000,11,IF(G15&gt;500,10,IF(G15&gt;250,9,IF(G15&gt;130,8,IF(G15&gt;64,7,IF(G15&gt;32,6,IF(G15&gt;16,5,IF(G15&gt;8,4,IF(G15&gt;4,3,IF(G15&gt;2,2,IF(G15&gt;1,1,IF(G15&gt;0.5,0,IF(G15=0,0)))))))))))))))))))))))))))))),"")</f>
        <v/>
      </c>
      <c r="H28" s="43" t="str">
        <f aca="false">IF(H15&lt;&gt;"",IF(H15&gt;1300000000,28,IF(H15&gt;640000000,27,IF(H15&gt;320000000,26,IF(H15&gt;16000000,25,IF(H15&gt;8000000,24,IF(H15&gt;4000000,23,IF(H15&gt;2000000,22,IF(H15&gt;1000000,21,IF(H15&gt;500000,20,IF(H15&gt;250000,19,IF(H15&gt;130000,18,IF(H15&gt;64000,17,IF(H15&gt;32000,16,IF(H15&gt;16000,15,IF(H15&gt;8000,14,IF(H15&gt;4000,13,IF(H15&gt;2000,12,IF(H15&gt;1000,11,IF(H15&gt;500,10,IF(H15&gt;250,9,IF(H15&gt;130,8,IF(H15&gt;64,7,IF(H15&gt;32,6,IF(H15&gt;16,5,IF(H15&gt;8,4,IF(H15&gt;4,3,IF(H15&gt;2,2,IF(H15&gt;1,1,IF(H15&gt;0.5,0,IF(H15=0,0)))))))))))))))))))))))))))))),"")</f>
        <v/>
      </c>
      <c r="I28" s="43" t="str">
        <f aca="false">IF(I15&lt;&gt;"",IF(I15&gt;1300000000,28,IF(I15&gt;640000000,27,IF(I15&gt;320000000,26,IF(I15&gt;16000000,25,IF(I15&gt;8000000,24,IF(I15&gt;4000000,23,IF(I15&gt;2000000,22,IF(I15&gt;1000000,21,IF(I15&gt;500000,20,IF(I15&gt;250000,19,IF(I15&gt;130000,18,IF(I15&gt;64000,17,IF(I15&gt;32000,16,IF(I15&gt;16000,15,IF(I15&gt;8000,14,IF(I15&gt;4000,13,IF(I15&gt;2000,12,IF(I15&gt;1000,11,IF(I15&gt;500,10,IF(I15&gt;250,9,IF(I15&gt;130,8,IF(I15&gt;64,7,IF(I15&gt;32,6,IF(I15&gt;16,5,IF(I15&gt;8,4,IF(I15&gt;4,3,IF(I15&gt;2,2,IF(I15&gt;1,1,IF(I15&gt;0.5,0,IF(I15=0,0)))))))))))))))))))))))))))))),"")</f>
        <v/>
      </c>
      <c r="J28" s="43" t="str">
        <f aca="false">IF(J15&lt;&gt;"",IF(J15&gt;1300000000,28,IF(J15&gt;640000000,27,IF(J15&gt;320000000,26,IF(J15&gt;16000000,25,IF(J15&gt;8000000,24,IF(J15&gt;4000000,23,IF(J15&gt;2000000,22,IF(J15&gt;1000000,21,IF(J15&gt;500000,20,IF(J15&gt;250000,19,IF(J15&gt;130000,18,IF(J15&gt;64000,17,IF(J15&gt;32000,16,IF(J15&gt;16000,15,IF(J15&gt;8000,14,IF(J15&gt;4000,13,IF(J15&gt;2000,12,IF(J15&gt;1000,11,IF(J15&gt;500,10,IF(J15&gt;250,9,IF(J15&gt;130,8,IF(J15&gt;64,7,IF(J15&gt;32,6,IF(J15&gt;16,5,IF(J15&gt;8,4,IF(J15&gt;4,3,IF(J15&gt;2,2,IF(J15&gt;1,1,IF(J15&gt;0.5,0,IF(J15=0,0)))))))))))))))))))))))))))))),"")</f>
        <v/>
      </c>
      <c r="K28" s="43" t="str">
        <f aca="false">IF(K15&lt;&gt;"",IF(K15&gt;1300000000,28,IF(K15&gt;640000000,27,IF(K15&gt;320000000,26,IF(K15&gt;16000000,25,IF(K15&gt;8000000,24,IF(K15&gt;4000000,23,IF(K15&gt;2000000,22,IF(K15&gt;1000000,21,IF(K15&gt;500000,20,IF(K15&gt;250000,19,IF(K15&gt;130000,18,IF(K15&gt;64000,17,IF(K15&gt;32000,16,IF(K15&gt;16000,15,IF(K15&gt;8000,14,IF(K15&gt;4000,13,IF(K15&gt;2000,12,IF(K15&gt;1000,11,IF(K15&gt;500,10,IF(K15&gt;250,9,IF(K15&gt;130,8,IF(K15&gt;64,7,IF(K15&gt;32,6,IF(K15&gt;16,5,IF(K15&gt;8,4,IF(K15&gt;4,3,IF(K15&gt;2,2,IF(K15&gt;1,1,IF(K15&gt;0.5,0,IF(K15=0,0)))))))))))))))))))))))))))))),"")</f>
        <v/>
      </c>
      <c r="L28" s="43" t="str">
        <f aca="false">IF(L15&lt;&gt;"",IF(L15&gt;1300000000,28,IF(L15&gt;640000000,27,IF(L15&gt;320000000,26,IF(L15&gt;16000000,25,IF(L15&gt;8000000,24,IF(L15&gt;4000000,23,IF(L15&gt;2000000,22,IF(L15&gt;1000000,21,IF(L15&gt;500000,20,IF(L15&gt;250000,19,IF(L15&gt;130000,18,IF(L15&gt;64000,17,IF(L15&gt;32000,16,IF(L15&gt;16000,15,IF(L15&gt;8000,14,IF(L15&gt;4000,13,IF(L15&gt;2000,12,IF(L15&gt;1000,11,IF(L15&gt;500,10,IF(L15&gt;250,9,IF(L15&gt;130,8,IF(L15&gt;64,7,IF(L15&gt;32,6,IF(L15&gt;16,5,IF(L15&gt;8,4,IF(L15&gt;4,3,IF(L15&gt;2,2,IF(L15&gt;1,1,IF(L15&gt;0.5,0,IF(L15=0,0)))))))))))))))))))))))))))))),"")</f>
        <v/>
      </c>
      <c r="M28" s="43" t="str">
        <f aca="false">IF(M15&lt;&gt;"",IF(M15&gt;1300000000,28,IF(M15&gt;640000000,27,IF(M15&gt;320000000,26,IF(M15&gt;16000000,25,IF(M15&gt;8000000,24,IF(M15&gt;4000000,23,IF(M15&gt;2000000,22,IF(M15&gt;1000000,21,IF(M15&gt;500000,20,IF(M15&gt;250000,19,IF(M15&gt;130000,18,IF(M15&gt;64000,17,IF(M15&gt;32000,16,IF(M15&gt;16000,15,IF(M15&gt;8000,14,IF(M15&gt;4000,13,IF(M15&gt;2000,12,IF(M15&gt;1000,11,IF(M15&gt;500,10,IF(M15&gt;250,9,IF(M15&gt;130,8,IF(M15&gt;64,7,IF(M15&gt;32,6,IF(M15&gt;16,5,IF(M15&gt;8,4,IF(M15&gt;4,3,IF(M15&gt;2,2,IF(M15&gt;1,1,IF(M15&gt;0.5,0,IF(M15=0,0)))))))))))))))))))))))))))))),"")</f>
        <v/>
      </c>
      <c r="N28" s="43" t="str">
        <f aca="false">IF(N15&lt;&gt;"",IF(N15&gt;1300000000,28,IF(N15&gt;640000000,27,IF(N15&gt;320000000,26,IF(N15&gt;16000000,25,IF(N15&gt;8000000,24,IF(N15&gt;4000000,23,IF(N15&gt;2000000,22,IF(N15&gt;1000000,21,IF(N15&gt;500000,20,IF(N15&gt;250000,19,IF(N15&gt;130000,18,IF(N15&gt;64000,17,IF(N15&gt;32000,16,IF(N15&gt;16000,15,IF(N15&gt;8000,14,IF(N15&gt;4000,13,IF(N15&gt;2000,12,IF(N15&gt;1000,11,IF(N15&gt;500,10,IF(N15&gt;250,9,IF(N15&gt;130,8,IF(N15&gt;64,7,IF(N15&gt;32,6,IF(N15&gt;16,5,IF(N15&gt;8,4,IF(N15&gt;4,3,IF(N15&gt;2,2,IF(N15&gt;1,1,IF(N15&gt;0.5,0,IF(N15=0,0)))))))))))))))))))))))))))))),"")</f>
        <v/>
      </c>
      <c r="O28" s="43" t="str">
        <f aca="false">IF(O15&lt;&gt;"",IF(O15&gt;1300000000,28,IF(O15&gt;640000000,27,IF(O15&gt;320000000,26,IF(O15&gt;16000000,25,IF(O15&gt;8000000,24,IF(O15&gt;4000000,23,IF(O15&gt;2000000,22,IF(O15&gt;1000000,21,IF(O15&gt;500000,20,IF(O15&gt;250000,19,IF(O15&gt;130000,18,IF(O15&gt;64000,17,IF(O15&gt;32000,16,IF(O15&gt;16000,15,IF(O15&gt;8000,14,IF(O15&gt;4000,13,IF(O15&gt;2000,12,IF(O15&gt;1000,11,IF(O15&gt;500,10,IF(O15&gt;250,9,IF(O15&gt;130,8,IF(O15&gt;64,7,IF(O15&gt;32,6,IF(O15&gt;16,5,IF(O15&gt;8,4,IF(O15&gt;4,3,IF(O15&gt;2,2,IF(O15&gt;1,1,IF(O15&gt;0.5,0,IF(O15=0,0)))))))))))))))))))))))))))))),"")</f>
        <v/>
      </c>
      <c r="P28" s="43" t="str">
        <f aca="false">IF(P15&lt;&gt;"",IF(P15&gt;1300000000,28,IF(P15&gt;640000000,27,IF(P15&gt;320000000,26,IF(P15&gt;16000000,25,IF(P15&gt;8000000,24,IF(P15&gt;4000000,23,IF(P15&gt;2000000,22,IF(P15&gt;1000000,21,IF(P15&gt;500000,20,IF(P15&gt;250000,19,IF(P15&gt;130000,18,IF(P15&gt;64000,17,IF(P15&gt;32000,16,IF(P15&gt;16000,15,IF(P15&gt;8000,14,IF(P15&gt;4000,13,IF(P15&gt;2000,12,IF(P15&gt;1000,11,IF(P15&gt;500,10,IF(P15&gt;250,9,IF(P15&gt;130,8,IF(P15&gt;64,7,IF(P15&gt;32,6,IF(P15&gt;16,5,IF(P15&gt;8,4,IF(P15&gt;4,3,IF(P15&gt;2,2,IF(P15&gt;1,1,IF(P15&gt;0.5,0,IF(P15=0,0)))))))))))))))))))))))))))))),"")</f>
        <v/>
      </c>
      <c r="Q28" s="43" t="str">
        <f aca="false">IF(Q15&lt;&gt;"",IF(Q15&gt;1300000000,28,IF(Q15&gt;640000000,27,IF(Q15&gt;320000000,26,IF(Q15&gt;16000000,25,IF(Q15&gt;8000000,24,IF(Q15&gt;4000000,23,IF(Q15&gt;2000000,22,IF(Q15&gt;1000000,21,IF(Q15&gt;500000,20,IF(Q15&gt;250000,19,IF(Q15&gt;130000,18,IF(Q15&gt;64000,17,IF(Q15&gt;32000,16,IF(Q15&gt;16000,15,IF(Q15&gt;8000,14,IF(Q15&gt;4000,13,IF(Q15&gt;2000,12,IF(Q15&gt;1000,11,IF(Q15&gt;500,10,IF(Q15&gt;250,9,IF(Q15&gt;130,8,IF(Q15&gt;64,7,IF(Q15&gt;32,6,IF(Q15&gt;16,5,IF(Q15&gt;8,4,IF(Q15&gt;4,3,IF(Q15&gt;2,2,IF(Q15&gt;1,1,IF(Q15&gt;0.5,0,IF(Q15=0,0)))))))))))))))))))))))))))))),"")</f>
        <v/>
      </c>
      <c r="R28" s="43" t="str">
        <f aca="false">IF(R15&lt;&gt;"",IF(R15&gt;1300000000,28,IF(R15&gt;640000000,27,IF(R15&gt;320000000,26,IF(R15&gt;16000000,25,IF(R15&gt;8000000,24,IF(R15&gt;4000000,23,IF(R15&gt;2000000,22,IF(R15&gt;1000000,21,IF(R15&gt;500000,20,IF(R15&gt;250000,19,IF(R15&gt;130000,18,IF(R15&gt;64000,17,IF(R15&gt;32000,16,IF(R15&gt;16000,15,IF(R15&gt;8000,14,IF(R15&gt;4000,13,IF(R15&gt;2000,12,IF(R15&gt;1000,11,IF(R15&gt;500,10,IF(R15&gt;250,9,IF(R15&gt;130,8,IF(R15&gt;64,7,IF(R15&gt;32,6,IF(R15&gt;16,5,IF(R15&gt;8,4,IF(R15&gt;4,3,IF(R15&gt;2,2,IF(R15&gt;1,1,IF(R15&gt;0.5,0,IF(R15=0,0)))))))))))))))))))))))))))))),"")</f>
        <v/>
      </c>
      <c r="S28" s="43" t="str">
        <f aca="false">IF(S15&lt;&gt;"",IF(S15&gt;1300000000,28,IF(S15&gt;640000000,27,IF(S15&gt;320000000,26,IF(S15&gt;16000000,25,IF(S15&gt;8000000,24,IF(S15&gt;4000000,23,IF(S15&gt;2000000,22,IF(S15&gt;1000000,21,IF(S15&gt;500000,20,IF(S15&gt;250000,19,IF(S15&gt;130000,18,IF(S15&gt;64000,17,IF(S15&gt;32000,16,IF(S15&gt;16000,15,IF(S15&gt;8000,14,IF(S15&gt;4000,13,IF(S15&gt;2000,12,IF(S15&gt;1000,11,IF(S15&gt;500,10,IF(S15&gt;250,9,IF(S15&gt;130,8,IF(S15&gt;64,7,IF(S15&gt;32,6,IF(S15&gt;16,5,IF(S15&gt;8,4,IF(S15&gt;4,3,IF(S15&gt;2,2,IF(S15&gt;1,1,IF(S15&gt;0.5,0,IF(S15=0,0)))))))))))))))))))))))))))))),"")</f>
        <v/>
      </c>
      <c r="T28" s="43" t="str">
        <f aca="false">IF(T15&lt;&gt;"",IF(T15&gt;1300000000,28,IF(T15&gt;640000000,27,IF(T15&gt;320000000,26,IF(T15&gt;16000000,25,IF(T15&gt;8000000,24,IF(T15&gt;4000000,23,IF(T15&gt;2000000,22,IF(T15&gt;1000000,21,IF(T15&gt;500000,20,IF(T15&gt;250000,19,IF(T15&gt;130000,18,IF(T15&gt;64000,17,IF(T15&gt;32000,16,IF(T15&gt;16000,15,IF(T15&gt;8000,14,IF(T15&gt;4000,13,IF(T15&gt;2000,12,IF(T15&gt;1000,11,IF(T15&gt;500,10,IF(T15&gt;250,9,IF(T15&gt;130,8,IF(T15&gt;64,7,IF(T15&gt;32,6,IF(T15&gt;16,5,IF(T15&gt;8,4,IF(T15&gt;4,3,IF(T15&gt;2,2,IF(T15&gt;1,1,IF(T15&gt;0.5,0,IF(T15=0,0)))))))))))))))))))))))))))))),"")</f>
        <v/>
      </c>
      <c r="U28" s="43" t="str">
        <f aca="false">IF(U15&lt;&gt;"",IF(U15&gt;1300000000,28,IF(U15&gt;640000000,27,IF(U15&gt;320000000,26,IF(U15&gt;16000000,25,IF(U15&gt;8000000,24,IF(U15&gt;4000000,23,IF(U15&gt;2000000,22,IF(U15&gt;1000000,21,IF(U15&gt;500000,20,IF(U15&gt;250000,19,IF(U15&gt;130000,18,IF(U15&gt;64000,17,IF(U15&gt;32000,16,IF(U15&gt;16000,15,IF(U15&gt;8000,14,IF(U15&gt;4000,13,IF(U15&gt;2000,12,IF(U15&gt;1000,11,IF(U15&gt;500,10,IF(U15&gt;250,9,IF(U15&gt;130,8,IF(U15&gt;64,7,IF(U15&gt;32,6,IF(U15&gt;16,5,IF(U15&gt;8,4,IF(U15&gt;4,3,IF(U15&gt;2,2,IF(U15&gt;1,1,IF(U15&gt;0.5,0,IF(U15=0,0)))))))))))))))))))))))))))))),"")</f>
        <v/>
      </c>
      <c r="V28" s="43" t="str">
        <f aca="false">IF(V15&lt;&gt;"",IF(V15&gt;1300000000,28,IF(V15&gt;640000000,27,IF(V15&gt;320000000,26,IF(V15&gt;16000000,25,IF(V15&gt;8000000,24,IF(V15&gt;4000000,23,IF(V15&gt;2000000,22,IF(V15&gt;1000000,21,IF(V15&gt;500000,20,IF(V15&gt;250000,19,IF(V15&gt;130000,18,IF(V15&gt;64000,17,IF(V15&gt;32000,16,IF(V15&gt;16000,15,IF(V15&gt;8000,14,IF(V15&gt;4000,13,IF(V15&gt;2000,12,IF(V15&gt;1000,11,IF(V15&gt;500,10,IF(V15&gt;250,9,IF(V15&gt;130,8,IF(V15&gt;64,7,IF(V15&gt;32,6,IF(V15&gt;16,5,IF(V15&gt;8,4,IF(V15&gt;4,3,IF(V15&gt;2,2,IF(V15&gt;1,1,IF(V15&gt;0.5,0,IF(V15=0,0)))))))))))))))))))))))))))))),"")</f>
        <v/>
      </c>
      <c r="W28" s="43" t="str">
        <f aca="false">IF(W15&lt;&gt;"",IF(W15&gt;1300000000,28,IF(W15&gt;640000000,27,IF(W15&gt;320000000,26,IF(W15&gt;16000000,25,IF(W15&gt;8000000,24,IF(W15&gt;4000000,23,IF(W15&gt;2000000,22,IF(W15&gt;1000000,21,IF(W15&gt;500000,20,IF(W15&gt;250000,19,IF(W15&gt;130000,18,IF(W15&gt;64000,17,IF(W15&gt;32000,16,IF(W15&gt;16000,15,IF(W15&gt;8000,14,IF(W15&gt;4000,13,IF(W15&gt;2000,12,IF(W15&gt;1000,11,IF(W15&gt;500,10,IF(W15&gt;250,9,IF(W15&gt;130,8,IF(W15&gt;64,7,IF(W15&gt;32,6,IF(W15&gt;16,5,IF(W15&gt;8,4,IF(W15&gt;4,3,IF(W15&gt;2,2,IF(W15&gt;1,1,IF(W15&gt;0.5,0,IF(W15=0,0)))))))))))))))))))))))))))))),"")</f>
        <v/>
      </c>
      <c r="X28" s="43" t="str">
        <f aca="false">IF(X15&lt;&gt;"",IF(X15&gt;1300000000,28,IF(X15&gt;640000000,27,IF(X15&gt;320000000,26,IF(X15&gt;16000000,25,IF(X15&gt;8000000,24,IF(X15&gt;4000000,23,IF(X15&gt;2000000,22,IF(X15&gt;1000000,21,IF(X15&gt;500000,20,IF(X15&gt;250000,19,IF(X15&gt;130000,18,IF(X15&gt;64000,17,IF(X15&gt;32000,16,IF(X15&gt;16000,15,IF(X15&gt;8000,14,IF(X15&gt;4000,13,IF(X15&gt;2000,12,IF(X15&gt;1000,11,IF(X15&gt;500,10,IF(X15&gt;250,9,IF(X15&gt;130,8,IF(X15&gt;64,7,IF(X15&gt;32,6,IF(X15&gt;16,5,IF(X15&gt;8,4,IF(X15&gt;4,3,IF(X15&gt;2,2,IF(X15&gt;1,1,IF(X15&gt;0.5,0,IF(X15=0,0)))))))))))))))))))))))))))))),"")</f>
        <v/>
      </c>
      <c r="Y28" s="43" t="str">
        <f aca="false">IF(Y15&lt;&gt;"",IF(Y15&gt;1300000000,28,IF(Y15&gt;640000000,27,IF(Y15&gt;320000000,26,IF(Y15&gt;16000000,25,IF(Y15&gt;8000000,24,IF(Y15&gt;4000000,23,IF(Y15&gt;2000000,22,IF(Y15&gt;1000000,21,IF(Y15&gt;500000,20,IF(Y15&gt;250000,19,IF(Y15&gt;130000,18,IF(Y15&gt;64000,17,IF(Y15&gt;32000,16,IF(Y15&gt;16000,15,IF(Y15&gt;8000,14,IF(Y15&gt;4000,13,IF(Y15&gt;2000,12,IF(Y15&gt;1000,11,IF(Y15&gt;500,10,IF(Y15&gt;250,9,IF(Y15&gt;130,8,IF(Y15&gt;64,7,IF(Y15&gt;32,6,IF(Y15&gt;16,5,IF(Y15&gt;8,4,IF(Y15&gt;4,3,IF(Y15&gt;2,2,IF(Y15&gt;1,1,IF(Y15&gt;0.5,0,IF(Y15=0,0)))))))))))))))))))))))))))))),"")</f>
        <v/>
      </c>
      <c r="Z28" s="43" t="str">
        <f aca="false">IF(Z15&lt;&gt;"",IF(Z15&gt;1300000000,28,IF(Z15&gt;640000000,27,IF(Z15&gt;320000000,26,IF(Z15&gt;16000000,25,IF(Z15&gt;8000000,24,IF(Z15&gt;4000000,23,IF(Z15&gt;2000000,22,IF(Z15&gt;1000000,21,IF(Z15&gt;500000,20,IF(Z15&gt;250000,19,IF(Z15&gt;130000,18,IF(Z15&gt;64000,17,IF(Z15&gt;32000,16,IF(Z15&gt;16000,15,IF(Z15&gt;8000,14,IF(Z15&gt;4000,13,IF(Z15&gt;2000,12,IF(Z15&gt;1000,11,IF(Z15&gt;500,10,IF(Z15&gt;250,9,IF(Z15&gt;130,8,IF(Z15&gt;64,7,IF(Z15&gt;32,6,IF(Z15&gt;16,5,IF(Z15&gt;8,4,IF(Z15&gt;4,3,IF(Z15&gt;2,2,IF(Z15&gt;1,1,IF(Z15&gt;0.5,0,IF(Z15=0,0)))))))))))))))))))))))))))))),"")</f>
        <v/>
      </c>
      <c r="AA28" s="43" t="str">
        <f aca="false">IF(AA15&lt;&gt;"",IF(AA15&gt;1300000000,28,IF(AA15&gt;640000000,27,IF(AA15&gt;320000000,26,IF(AA15&gt;16000000,25,IF(AA15&gt;8000000,24,IF(AA15&gt;4000000,23,IF(AA15&gt;2000000,22,IF(AA15&gt;1000000,21,IF(AA15&gt;500000,20,IF(AA15&gt;250000,19,IF(AA15&gt;130000,18,IF(AA15&gt;64000,17,IF(AA15&gt;32000,16,IF(AA15&gt;16000,15,IF(AA15&gt;8000,14,IF(AA15&gt;4000,13,IF(AA15&gt;2000,12,IF(AA15&gt;1000,11,IF(AA15&gt;500,10,IF(AA15&gt;250,9,IF(AA15&gt;130,8,IF(AA15&gt;64,7,IF(AA15&gt;32,6,IF(AA15&gt;16,5,IF(AA15&gt;8,4,IF(AA15&gt;4,3,IF(AA15&gt;2,2,IF(AA15&gt;1,1,IF(AA15&gt;0.5,0,IF(AA15=0,0)))))))))))))))))))))))))))))),"")</f>
        <v/>
      </c>
      <c r="AB28" s="43" t="str">
        <f aca="false">IF(AB15&lt;&gt;"",IF(AB15&gt;1300000000,28,IF(AB15&gt;640000000,27,IF(AB15&gt;320000000,26,IF(AB15&gt;16000000,25,IF(AB15&gt;8000000,24,IF(AB15&gt;4000000,23,IF(AB15&gt;2000000,22,IF(AB15&gt;1000000,21,IF(AB15&gt;500000,20,IF(AB15&gt;250000,19,IF(AB15&gt;130000,18,IF(AB15&gt;64000,17,IF(AB15&gt;32000,16,IF(AB15&gt;16000,15,IF(AB15&gt;8000,14,IF(AB15&gt;4000,13,IF(AB15&gt;2000,12,IF(AB15&gt;1000,11,IF(AB15&gt;500,10,IF(AB15&gt;250,9,IF(AB15&gt;130,8,IF(AB15&gt;64,7,IF(AB15&gt;32,6,IF(AB15&gt;16,5,IF(AB15&gt;8,4,IF(AB15&gt;4,3,IF(AB15&gt;2,2,IF(AB15&gt;1,1,IF(AB15&gt;0.5,0,IF(AB15=0,0)))))))))))))))))))))))))))))),"")</f>
        <v/>
      </c>
      <c r="AC28" s="43" t="str">
        <f aca="false">IF(AC15&lt;&gt;"",IF(AC15&gt;1300000000,28,IF(AC15&gt;640000000,27,IF(AC15&gt;320000000,26,IF(AC15&gt;16000000,25,IF(AC15&gt;8000000,24,IF(AC15&gt;4000000,23,IF(AC15&gt;2000000,22,IF(AC15&gt;1000000,21,IF(AC15&gt;500000,20,IF(AC15&gt;250000,19,IF(AC15&gt;130000,18,IF(AC15&gt;64000,17,IF(AC15&gt;32000,16,IF(AC15&gt;16000,15,IF(AC15&gt;8000,14,IF(AC15&gt;4000,13,IF(AC15&gt;2000,12,IF(AC15&gt;1000,11,IF(AC15&gt;500,10,IF(AC15&gt;250,9,IF(AC15&gt;130,8,IF(AC15&gt;64,7,IF(AC15&gt;32,6,IF(AC15&gt;16,5,IF(AC15&gt;8,4,IF(AC15&gt;4,3,IF(AC15&gt;2,2,IF(AC15&gt;1,1,IF(AC15&gt;0.5,0,IF(AC15=0,0)))))))))))))))))))))))))))))),"")</f>
        <v/>
      </c>
      <c r="AD28" s="43" t="str">
        <f aca="false">IF(AD15&lt;&gt;"",IF(AD15&gt;1300000000,28,IF(AD15&gt;640000000,27,IF(AD15&gt;320000000,26,IF(AD15&gt;16000000,25,IF(AD15&gt;8000000,24,IF(AD15&gt;4000000,23,IF(AD15&gt;2000000,22,IF(AD15&gt;1000000,21,IF(AD15&gt;500000,20,IF(AD15&gt;250000,19,IF(AD15&gt;130000,18,IF(AD15&gt;64000,17,IF(AD15&gt;32000,16,IF(AD15&gt;16000,15,IF(AD15&gt;8000,14,IF(AD15&gt;4000,13,IF(AD15&gt;2000,12,IF(AD15&gt;1000,11,IF(AD15&gt;500,10,IF(AD15&gt;250,9,IF(AD15&gt;130,8,IF(AD15&gt;64,7,IF(AD15&gt;32,6,IF(AD15&gt;16,5,IF(AD15&gt;8,4,IF(AD15&gt;4,3,IF(AD15&gt;2,2,IF(AD15&gt;1,1,IF(AD15&gt;0.5,0,IF(AD15=0,0)))))))))))))))))))))))))))))),"")</f>
        <v/>
      </c>
      <c r="AE28" s="43" t="str">
        <f aca="false">IF(AE15&lt;&gt;"",IF(AE15&gt;1300000000,28,IF(AE15&gt;640000000,27,IF(AE15&gt;320000000,26,IF(AE15&gt;16000000,25,IF(AE15&gt;8000000,24,IF(AE15&gt;4000000,23,IF(AE15&gt;2000000,22,IF(AE15&gt;1000000,21,IF(AE15&gt;500000,20,IF(AE15&gt;250000,19,IF(AE15&gt;130000,18,IF(AE15&gt;64000,17,IF(AE15&gt;32000,16,IF(AE15&gt;16000,15,IF(AE15&gt;8000,14,IF(AE15&gt;4000,13,IF(AE15&gt;2000,12,IF(AE15&gt;1000,11,IF(AE15&gt;500,10,IF(AE15&gt;250,9,IF(AE15&gt;130,8,IF(AE15&gt;64,7,IF(AE15&gt;32,6,IF(AE15&gt;16,5,IF(AE15&gt;8,4,IF(AE15&gt;4,3,IF(AE15&gt;2,2,IF(AE15&gt;1,1,IF(AE15&gt;0.5,0,IF(AE15=0,0)))))))))))))))))))))))))))))),"")</f>
        <v/>
      </c>
      <c r="AF28" s="43" t="str">
        <f aca="false">IF(AF15&lt;&gt;"",IF(AF15&gt;1300000000,28,IF(AF15&gt;640000000,27,IF(AF15&gt;320000000,26,IF(AF15&gt;16000000,25,IF(AF15&gt;8000000,24,IF(AF15&gt;4000000,23,IF(AF15&gt;2000000,22,IF(AF15&gt;1000000,21,IF(AF15&gt;500000,20,IF(AF15&gt;250000,19,IF(AF15&gt;130000,18,IF(AF15&gt;64000,17,IF(AF15&gt;32000,16,IF(AF15&gt;16000,15,IF(AF15&gt;8000,14,IF(AF15&gt;4000,13,IF(AF15&gt;2000,12,IF(AF15&gt;1000,11,IF(AF15&gt;500,10,IF(AF15&gt;250,9,IF(AF15&gt;130,8,IF(AF15&gt;64,7,IF(AF15&gt;32,6,IF(AF15&gt;16,5,IF(AF15&gt;8,4,IF(AF15&gt;4,3,IF(AF15&gt;2,2,IF(AF15&gt;1,1,IF(AF15&gt;0.5,0,IF(AF15=0,0)))))))))))))))))))))))))))))),"")</f>
        <v/>
      </c>
      <c r="AG28" s="43" t="str">
        <f aca="false">IF(AG15&lt;&gt;"",IF(AG15&gt;1300000000,28,IF(AG15&gt;640000000,27,IF(AG15&gt;320000000,26,IF(AG15&gt;16000000,25,IF(AG15&gt;8000000,24,IF(AG15&gt;4000000,23,IF(AG15&gt;2000000,22,IF(AG15&gt;1000000,21,IF(AG15&gt;500000,20,IF(AG15&gt;250000,19,IF(AG15&gt;130000,18,IF(AG15&gt;64000,17,IF(AG15&gt;32000,16,IF(AG15&gt;16000,15,IF(AG15&gt;8000,14,IF(AG15&gt;4000,13,IF(AG15&gt;2000,12,IF(AG15&gt;1000,11,IF(AG15&gt;500,10,IF(AG15&gt;250,9,IF(AG15&gt;130,8,IF(AG15&gt;64,7,IF(AG15&gt;32,6,IF(AG15&gt;16,5,IF(AG15&gt;8,4,IF(AG15&gt;4,3,IF(AG15&gt;2,2,IF(AG15&gt;1,1,IF(AG15&gt;0.5,0,IF(AG15=0,0)))))))))))))))))))))))))))))),"")</f>
        <v/>
      </c>
      <c r="AH28" s="43" t="str">
        <f aca="false">IF(AH15&lt;&gt;"",IF(AH15&gt;1300000000,28,IF(AH15&gt;640000000,27,IF(AH15&gt;320000000,26,IF(AH15&gt;16000000,25,IF(AH15&gt;8000000,24,IF(AH15&gt;4000000,23,IF(AH15&gt;2000000,22,IF(AH15&gt;1000000,21,IF(AH15&gt;500000,20,IF(AH15&gt;250000,19,IF(AH15&gt;130000,18,IF(AH15&gt;64000,17,IF(AH15&gt;32000,16,IF(AH15&gt;16000,15,IF(AH15&gt;8000,14,IF(AH15&gt;4000,13,IF(AH15&gt;2000,12,IF(AH15&gt;1000,11,IF(AH15&gt;500,10,IF(AH15&gt;250,9,IF(AH15&gt;130,8,IF(AH15&gt;64,7,IF(AH15&gt;32,6,IF(AH15&gt;16,5,IF(AH15&gt;8,4,IF(AH15&gt;4,3,IF(AH15&gt;2,2,IF(AH15&gt;1,1,IF(AH15&gt;0.5,0,IF(AH15=0,0)))))))))))))))))))))))))))))),"")</f>
        <v/>
      </c>
      <c r="AI28" s="43" t="str">
        <f aca="false">IF(AI15&lt;&gt;"",IF(AI15&gt;1300000000,28,IF(AI15&gt;640000000,27,IF(AI15&gt;320000000,26,IF(AI15&gt;16000000,25,IF(AI15&gt;8000000,24,IF(AI15&gt;4000000,23,IF(AI15&gt;2000000,22,IF(AI15&gt;1000000,21,IF(AI15&gt;500000,20,IF(AI15&gt;250000,19,IF(AI15&gt;130000,18,IF(AI15&gt;64000,17,IF(AI15&gt;32000,16,IF(AI15&gt;16000,15,IF(AI15&gt;8000,14,IF(AI15&gt;4000,13,IF(AI15&gt;2000,12,IF(AI15&gt;1000,11,IF(AI15&gt;500,10,IF(AI15&gt;250,9,IF(AI15&gt;130,8,IF(AI15&gt;64,7,IF(AI15&gt;32,6,IF(AI15&gt;16,5,IF(AI15&gt;8,4,IF(AI15&gt;4,3,IF(AI15&gt;2,2,IF(AI15&gt;1,1,IF(AI15&gt;0.5,0,IF(AI15=0,0)))))))))))))))))))))))))))))),"")</f>
        <v/>
      </c>
      <c r="AJ28" s="43" t="str">
        <f aca="false">IF(AJ15&lt;&gt;"",IF(AJ15&gt;1300000000,28,IF(AJ15&gt;640000000,27,IF(AJ15&gt;320000000,26,IF(AJ15&gt;16000000,25,IF(AJ15&gt;8000000,24,IF(AJ15&gt;4000000,23,IF(AJ15&gt;2000000,22,IF(AJ15&gt;1000000,21,IF(AJ15&gt;500000,20,IF(AJ15&gt;250000,19,IF(AJ15&gt;130000,18,IF(AJ15&gt;64000,17,IF(AJ15&gt;32000,16,IF(AJ15&gt;16000,15,IF(AJ15&gt;8000,14,IF(AJ15&gt;4000,13,IF(AJ15&gt;2000,12,IF(AJ15&gt;1000,11,IF(AJ15&gt;500,10,IF(AJ15&gt;250,9,IF(AJ15&gt;130,8,IF(AJ15&gt;64,7,IF(AJ15&gt;32,6,IF(AJ15&gt;16,5,IF(AJ15&gt;8,4,IF(AJ15&gt;4,3,IF(AJ15&gt;2,2,IF(AJ15&gt;1,1,IF(AJ15&gt;0.5,0,IF(AJ15=0,0)))))))))))))))))))))))))))))),"")</f>
        <v/>
      </c>
      <c r="AK28" s="43" t="str">
        <f aca="false">IF(AK15&lt;&gt;"",IF(AK15&gt;1300000000,28,IF(AK15&gt;640000000,27,IF(AK15&gt;320000000,26,IF(AK15&gt;16000000,25,IF(AK15&gt;8000000,24,IF(AK15&gt;4000000,23,IF(AK15&gt;2000000,22,IF(AK15&gt;1000000,21,IF(AK15&gt;500000,20,IF(AK15&gt;250000,19,IF(AK15&gt;130000,18,IF(AK15&gt;64000,17,IF(AK15&gt;32000,16,IF(AK15&gt;16000,15,IF(AK15&gt;8000,14,IF(AK15&gt;4000,13,IF(AK15&gt;2000,12,IF(AK15&gt;1000,11,IF(AK15&gt;500,10,IF(AK15&gt;250,9,IF(AK15&gt;130,8,IF(AK15&gt;64,7,IF(AK15&gt;32,6,IF(AK15&gt;16,5,IF(AK15&gt;8,4,IF(AK15&gt;4,3,IF(AK15&gt;2,2,IF(AK15&gt;1,1,IF(AK15&gt;0.5,0,IF(AK15=0,0)))))))))))))))))))))))))))))),"")</f>
        <v/>
      </c>
      <c r="AL28" s="33"/>
      <c r="AM28" s="34"/>
      <c r="AN28" s="34"/>
      <c r="AO28" s="34"/>
      <c r="AP28" s="34"/>
      <c r="AQ28" s="34"/>
      <c r="AR28" s="40"/>
    </row>
    <row r="29" s="37" customFormat="true" ht="13.8" hidden="false" customHeight="false" outlineLevel="0" collapsed="false">
      <c r="A29" s="28"/>
      <c r="B29" s="36" t="s">
        <v>56</v>
      </c>
      <c r="C29" s="37" t="s">
        <v>46</v>
      </c>
      <c r="D29" s="37" t="s">
        <v>59</v>
      </c>
      <c r="E29" s="47" t="str">
        <f aca="false">IF(E16&lt;&gt;"",IF(E16&gt;1300000000,28,IF(E16&gt;640000000,27,IF(E16&gt;320000000,26,IF(E16&gt;16000000,25,IF(E16&gt;8000000,24,IF(E16&gt;4000000,23,IF(E16&gt;2000000,22,IF(E16&gt;1000000,21,IF(E16&gt;500000,20,IF(E16&gt;250000,19,IF(E16&gt;130000,18,IF(E16&gt;64000,17,IF(E16&gt;32000,16,IF(E16&gt;16000,15,IF(E16&gt;8000,14,IF(E16&gt;4000,13,IF(E16&gt;2000,12,IF(E16&gt;1000,11,IF(E16&gt;500,10,IF(E16&gt;250,9,IF(E16&gt;130,8,IF(E16&gt;64,7,IF(E16&gt;32,6,IF(E16&gt;16,5,IF(E16&gt;8,4,IF(E16&gt;4,3,IF(E16&gt;2,2,IF(E16&gt;1,1,IF(E16&gt;0.5,0,IF(E16=0,0)))))))))))))))))))))))))))))),"")</f>
        <v/>
      </c>
      <c r="F29" s="47" t="str">
        <f aca="false">IF(F16&lt;&gt;"",IF(F16&gt;1300000000,28,IF(F16&gt;640000000,27,IF(F16&gt;320000000,26,IF(F16&gt;16000000,25,IF(F16&gt;8000000,24,IF(F16&gt;4000000,23,IF(F16&gt;2000000,22,IF(F16&gt;1000000,21,IF(F16&gt;500000,20,IF(F16&gt;250000,19,IF(F16&gt;130000,18,IF(F16&gt;64000,17,IF(F16&gt;32000,16,IF(F16&gt;16000,15,IF(F16&gt;8000,14,IF(F16&gt;4000,13,IF(F16&gt;2000,12,IF(F16&gt;1000,11,IF(F16&gt;500,10,IF(F16&gt;250,9,IF(F16&gt;130,8,IF(F16&gt;64,7,IF(F16&gt;32,6,IF(F16&gt;16,5,IF(F16&gt;8,4,IF(F16&gt;4,3,IF(F16&gt;2,2,IF(F16&gt;1,1,IF(F16&gt;0.5,0,IF(F16=0,0)))))))))))))))))))))))))))))),"")</f>
        <v/>
      </c>
      <c r="G29" s="47" t="str">
        <f aca="false">IF(G16&lt;&gt;"",IF(G16&gt;1300000000,28,IF(G16&gt;640000000,27,IF(G16&gt;320000000,26,IF(G16&gt;16000000,25,IF(G16&gt;8000000,24,IF(G16&gt;4000000,23,IF(G16&gt;2000000,22,IF(G16&gt;1000000,21,IF(G16&gt;500000,20,IF(G16&gt;250000,19,IF(G16&gt;130000,18,IF(G16&gt;64000,17,IF(G16&gt;32000,16,IF(G16&gt;16000,15,IF(G16&gt;8000,14,IF(G16&gt;4000,13,IF(G16&gt;2000,12,IF(G16&gt;1000,11,IF(G16&gt;500,10,IF(G16&gt;250,9,IF(G16&gt;130,8,IF(G16&gt;64,7,IF(G16&gt;32,6,IF(G16&gt;16,5,IF(G16&gt;8,4,IF(G16&gt;4,3,IF(G16&gt;2,2,IF(G16&gt;1,1,IF(G16&gt;0.5,0,IF(G16=0,0)))))))))))))))))))))))))))))),"")</f>
        <v/>
      </c>
      <c r="H29" s="47" t="str">
        <f aca="false">IF(H16&lt;&gt;"",IF(H16&gt;1300000000,28,IF(H16&gt;640000000,27,IF(H16&gt;320000000,26,IF(H16&gt;16000000,25,IF(H16&gt;8000000,24,IF(H16&gt;4000000,23,IF(H16&gt;2000000,22,IF(H16&gt;1000000,21,IF(H16&gt;500000,20,IF(H16&gt;250000,19,IF(H16&gt;130000,18,IF(H16&gt;64000,17,IF(H16&gt;32000,16,IF(H16&gt;16000,15,IF(H16&gt;8000,14,IF(H16&gt;4000,13,IF(H16&gt;2000,12,IF(H16&gt;1000,11,IF(H16&gt;500,10,IF(H16&gt;250,9,IF(H16&gt;130,8,IF(H16&gt;64,7,IF(H16&gt;32,6,IF(H16&gt;16,5,IF(H16&gt;8,4,IF(H16&gt;4,3,IF(H16&gt;2,2,IF(H16&gt;1,1,IF(H16&gt;0.5,0,IF(H16=0,0)))))))))))))))))))))))))))))),"")</f>
        <v/>
      </c>
      <c r="I29" s="47" t="str">
        <f aca="false">IF(I16&lt;&gt;"",IF(I16&gt;1300000000,28,IF(I16&gt;640000000,27,IF(I16&gt;320000000,26,IF(I16&gt;16000000,25,IF(I16&gt;8000000,24,IF(I16&gt;4000000,23,IF(I16&gt;2000000,22,IF(I16&gt;1000000,21,IF(I16&gt;500000,20,IF(I16&gt;250000,19,IF(I16&gt;130000,18,IF(I16&gt;64000,17,IF(I16&gt;32000,16,IF(I16&gt;16000,15,IF(I16&gt;8000,14,IF(I16&gt;4000,13,IF(I16&gt;2000,12,IF(I16&gt;1000,11,IF(I16&gt;500,10,IF(I16&gt;250,9,IF(I16&gt;130,8,IF(I16&gt;64,7,IF(I16&gt;32,6,IF(I16&gt;16,5,IF(I16&gt;8,4,IF(I16&gt;4,3,IF(I16&gt;2,2,IF(I16&gt;1,1,IF(I16&gt;0.5,0,IF(I16=0,0)))))))))))))))))))))))))))))),"")</f>
        <v/>
      </c>
      <c r="J29" s="47" t="str">
        <f aca="false">IF(J16&lt;&gt;"",IF(J16&gt;1300000000,28,IF(J16&gt;640000000,27,IF(J16&gt;320000000,26,IF(J16&gt;16000000,25,IF(J16&gt;8000000,24,IF(J16&gt;4000000,23,IF(J16&gt;2000000,22,IF(J16&gt;1000000,21,IF(J16&gt;500000,20,IF(J16&gt;250000,19,IF(J16&gt;130000,18,IF(J16&gt;64000,17,IF(J16&gt;32000,16,IF(J16&gt;16000,15,IF(J16&gt;8000,14,IF(J16&gt;4000,13,IF(J16&gt;2000,12,IF(J16&gt;1000,11,IF(J16&gt;500,10,IF(J16&gt;250,9,IF(J16&gt;130,8,IF(J16&gt;64,7,IF(J16&gt;32,6,IF(J16&gt;16,5,IF(J16&gt;8,4,IF(J16&gt;4,3,IF(J16&gt;2,2,IF(J16&gt;1,1,IF(J16&gt;0.5,0,IF(J16=0,0)))))))))))))))))))))))))))))),"")</f>
        <v/>
      </c>
      <c r="K29" s="47" t="str">
        <f aca="false">IF(K16&lt;&gt;"",IF(K16&gt;1300000000,28,IF(K16&gt;640000000,27,IF(K16&gt;320000000,26,IF(K16&gt;16000000,25,IF(K16&gt;8000000,24,IF(K16&gt;4000000,23,IF(K16&gt;2000000,22,IF(K16&gt;1000000,21,IF(K16&gt;500000,20,IF(K16&gt;250000,19,IF(K16&gt;130000,18,IF(K16&gt;64000,17,IF(K16&gt;32000,16,IF(K16&gt;16000,15,IF(K16&gt;8000,14,IF(K16&gt;4000,13,IF(K16&gt;2000,12,IF(K16&gt;1000,11,IF(K16&gt;500,10,IF(K16&gt;250,9,IF(K16&gt;130,8,IF(K16&gt;64,7,IF(K16&gt;32,6,IF(K16&gt;16,5,IF(K16&gt;8,4,IF(K16&gt;4,3,IF(K16&gt;2,2,IF(K16&gt;1,1,IF(K16&gt;0.5,0,IF(K16=0,0)))))))))))))))))))))))))))))),"")</f>
        <v/>
      </c>
      <c r="L29" s="47" t="str">
        <f aca="false">IF(L16&lt;&gt;"",IF(L16&gt;1300000000,28,IF(L16&gt;640000000,27,IF(L16&gt;320000000,26,IF(L16&gt;16000000,25,IF(L16&gt;8000000,24,IF(L16&gt;4000000,23,IF(L16&gt;2000000,22,IF(L16&gt;1000000,21,IF(L16&gt;500000,20,IF(L16&gt;250000,19,IF(L16&gt;130000,18,IF(L16&gt;64000,17,IF(L16&gt;32000,16,IF(L16&gt;16000,15,IF(L16&gt;8000,14,IF(L16&gt;4000,13,IF(L16&gt;2000,12,IF(L16&gt;1000,11,IF(L16&gt;500,10,IF(L16&gt;250,9,IF(L16&gt;130,8,IF(L16&gt;64,7,IF(L16&gt;32,6,IF(L16&gt;16,5,IF(L16&gt;8,4,IF(L16&gt;4,3,IF(L16&gt;2,2,IF(L16&gt;1,1,IF(L16&gt;0.5,0,IF(L16=0,0)))))))))))))))))))))))))))))),"")</f>
        <v/>
      </c>
      <c r="M29" s="47" t="str">
        <f aca="false">IF(M16&lt;&gt;"",IF(M16&gt;1300000000,28,IF(M16&gt;640000000,27,IF(M16&gt;320000000,26,IF(M16&gt;16000000,25,IF(M16&gt;8000000,24,IF(M16&gt;4000000,23,IF(M16&gt;2000000,22,IF(M16&gt;1000000,21,IF(M16&gt;500000,20,IF(M16&gt;250000,19,IF(M16&gt;130000,18,IF(M16&gt;64000,17,IF(M16&gt;32000,16,IF(M16&gt;16000,15,IF(M16&gt;8000,14,IF(M16&gt;4000,13,IF(M16&gt;2000,12,IF(M16&gt;1000,11,IF(M16&gt;500,10,IF(M16&gt;250,9,IF(M16&gt;130,8,IF(M16&gt;64,7,IF(M16&gt;32,6,IF(M16&gt;16,5,IF(M16&gt;8,4,IF(M16&gt;4,3,IF(M16&gt;2,2,IF(M16&gt;1,1,IF(M16&gt;0.5,0,IF(M16=0,0)))))))))))))))))))))))))))))),"")</f>
        <v/>
      </c>
      <c r="N29" s="47" t="str">
        <f aca="false">IF(N16&lt;&gt;"",IF(N16&gt;1300000000,28,IF(N16&gt;640000000,27,IF(N16&gt;320000000,26,IF(N16&gt;16000000,25,IF(N16&gt;8000000,24,IF(N16&gt;4000000,23,IF(N16&gt;2000000,22,IF(N16&gt;1000000,21,IF(N16&gt;500000,20,IF(N16&gt;250000,19,IF(N16&gt;130000,18,IF(N16&gt;64000,17,IF(N16&gt;32000,16,IF(N16&gt;16000,15,IF(N16&gt;8000,14,IF(N16&gt;4000,13,IF(N16&gt;2000,12,IF(N16&gt;1000,11,IF(N16&gt;500,10,IF(N16&gt;250,9,IF(N16&gt;130,8,IF(N16&gt;64,7,IF(N16&gt;32,6,IF(N16&gt;16,5,IF(N16&gt;8,4,IF(N16&gt;4,3,IF(N16&gt;2,2,IF(N16&gt;1,1,IF(N16&gt;0.5,0,IF(N16=0,0)))))))))))))))))))))))))))))),"")</f>
        <v/>
      </c>
      <c r="O29" s="47" t="str">
        <f aca="false">IF(O16&lt;&gt;"",IF(O16&gt;1300000000,28,IF(O16&gt;640000000,27,IF(O16&gt;320000000,26,IF(O16&gt;16000000,25,IF(O16&gt;8000000,24,IF(O16&gt;4000000,23,IF(O16&gt;2000000,22,IF(O16&gt;1000000,21,IF(O16&gt;500000,20,IF(O16&gt;250000,19,IF(O16&gt;130000,18,IF(O16&gt;64000,17,IF(O16&gt;32000,16,IF(O16&gt;16000,15,IF(O16&gt;8000,14,IF(O16&gt;4000,13,IF(O16&gt;2000,12,IF(O16&gt;1000,11,IF(O16&gt;500,10,IF(O16&gt;250,9,IF(O16&gt;130,8,IF(O16&gt;64,7,IF(O16&gt;32,6,IF(O16&gt;16,5,IF(O16&gt;8,4,IF(O16&gt;4,3,IF(O16&gt;2,2,IF(O16&gt;1,1,IF(O16&gt;0.5,0,IF(O16=0,0)))))))))))))))))))))))))))))),"")</f>
        <v/>
      </c>
      <c r="P29" s="47" t="str">
        <f aca="false">IF(P16&lt;&gt;"",IF(P16&gt;1300000000,28,IF(P16&gt;640000000,27,IF(P16&gt;320000000,26,IF(P16&gt;16000000,25,IF(P16&gt;8000000,24,IF(P16&gt;4000000,23,IF(P16&gt;2000000,22,IF(P16&gt;1000000,21,IF(P16&gt;500000,20,IF(P16&gt;250000,19,IF(P16&gt;130000,18,IF(P16&gt;64000,17,IF(P16&gt;32000,16,IF(P16&gt;16000,15,IF(P16&gt;8000,14,IF(P16&gt;4000,13,IF(P16&gt;2000,12,IF(P16&gt;1000,11,IF(P16&gt;500,10,IF(P16&gt;250,9,IF(P16&gt;130,8,IF(P16&gt;64,7,IF(P16&gt;32,6,IF(P16&gt;16,5,IF(P16&gt;8,4,IF(P16&gt;4,3,IF(P16&gt;2,2,IF(P16&gt;1,1,IF(P16&gt;0.5,0,IF(P16=0,0)))))))))))))))))))))))))))))),"")</f>
        <v/>
      </c>
      <c r="Q29" s="47" t="str">
        <f aca="false">IF(Q16&lt;&gt;"",IF(Q16&gt;1300000000,28,IF(Q16&gt;640000000,27,IF(Q16&gt;320000000,26,IF(Q16&gt;16000000,25,IF(Q16&gt;8000000,24,IF(Q16&gt;4000000,23,IF(Q16&gt;2000000,22,IF(Q16&gt;1000000,21,IF(Q16&gt;500000,20,IF(Q16&gt;250000,19,IF(Q16&gt;130000,18,IF(Q16&gt;64000,17,IF(Q16&gt;32000,16,IF(Q16&gt;16000,15,IF(Q16&gt;8000,14,IF(Q16&gt;4000,13,IF(Q16&gt;2000,12,IF(Q16&gt;1000,11,IF(Q16&gt;500,10,IF(Q16&gt;250,9,IF(Q16&gt;130,8,IF(Q16&gt;64,7,IF(Q16&gt;32,6,IF(Q16&gt;16,5,IF(Q16&gt;8,4,IF(Q16&gt;4,3,IF(Q16&gt;2,2,IF(Q16&gt;1,1,IF(Q16&gt;0.5,0,IF(Q16=0,0)))))))))))))))))))))))))))))),"")</f>
        <v/>
      </c>
      <c r="R29" s="47" t="str">
        <f aca="false">IF(R16&lt;&gt;"",IF(R16&gt;1300000000,28,IF(R16&gt;640000000,27,IF(R16&gt;320000000,26,IF(R16&gt;16000000,25,IF(R16&gt;8000000,24,IF(R16&gt;4000000,23,IF(R16&gt;2000000,22,IF(R16&gt;1000000,21,IF(R16&gt;500000,20,IF(R16&gt;250000,19,IF(R16&gt;130000,18,IF(R16&gt;64000,17,IF(R16&gt;32000,16,IF(R16&gt;16000,15,IF(R16&gt;8000,14,IF(R16&gt;4000,13,IF(R16&gt;2000,12,IF(R16&gt;1000,11,IF(R16&gt;500,10,IF(R16&gt;250,9,IF(R16&gt;130,8,IF(R16&gt;64,7,IF(R16&gt;32,6,IF(R16&gt;16,5,IF(R16&gt;8,4,IF(R16&gt;4,3,IF(R16&gt;2,2,IF(R16&gt;1,1,IF(R16&gt;0.5,0,IF(R16=0,0)))))))))))))))))))))))))))))),"")</f>
        <v/>
      </c>
      <c r="S29" s="47" t="str">
        <f aca="false">IF(S16&lt;&gt;"",IF(S16&gt;1300000000,28,IF(S16&gt;640000000,27,IF(S16&gt;320000000,26,IF(S16&gt;16000000,25,IF(S16&gt;8000000,24,IF(S16&gt;4000000,23,IF(S16&gt;2000000,22,IF(S16&gt;1000000,21,IF(S16&gt;500000,20,IF(S16&gt;250000,19,IF(S16&gt;130000,18,IF(S16&gt;64000,17,IF(S16&gt;32000,16,IF(S16&gt;16000,15,IF(S16&gt;8000,14,IF(S16&gt;4000,13,IF(S16&gt;2000,12,IF(S16&gt;1000,11,IF(S16&gt;500,10,IF(S16&gt;250,9,IF(S16&gt;130,8,IF(S16&gt;64,7,IF(S16&gt;32,6,IF(S16&gt;16,5,IF(S16&gt;8,4,IF(S16&gt;4,3,IF(S16&gt;2,2,IF(S16&gt;1,1,IF(S16&gt;0.5,0,IF(S16=0,0)))))))))))))))))))))))))))))),"")</f>
        <v/>
      </c>
      <c r="T29" s="47" t="str">
        <f aca="false">IF(T16&lt;&gt;"",IF(T16&gt;1300000000,28,IF(T16&gt;640000000,27,IF(T16&gt;320000000,26,IF(T16&gt;16000000,25,IF(T16&gt;8000000,24,IF(T16&gt;4000000,23,IF(T16&gt;2000000,22,IF(T16&gt;1000000,21,IF(T16&gt;500000,20,IF(T16&gt;250000,19,IF(T16&gt;130000,18,IF(T16&gt;64000,17,IF(T16&gt;32000,16,IF(T16&gt;16000,15,IF(T16&gt;8000,14,IF(T16&gt;4000,13,IF(T16&gt;2000,12,IF(T16&gt;1000,11,IF(T16&gt;500,10,IF(T16&gt;250,9,IF(T16&gt;130,8,IF(T16&gt;64,7,IF(T16&gt;32,6,IF(T16&gt;16,5,IF(T16&gt;8,4,IF(T16&gt;4,3,IF(T16&gt;2,2,IF(T16&gt;1,1,IF(T16&gt;0.5,0,IF(T16=0,0)))))))))))))))))))))))))))))),"")</f>
        <v/>
      </c>
      <c r="U29" s="47" t="str">
        <f aca="false">IF(U16&lt;&gt;"",IF(U16&gt;1300000000,28,IF(U16&gt;640000000,27,IF(U16&gt;320000000,26,IF(U16&gt;16000000,25,IF(U16&gt;8000000,24,IF(U16&gt;4000000,23,IF(U16&gt;2000000,22,IF(U16&gt;1000000,21,IF(U16&gt;500000,20,IF(U16&gt;250000,19,IF(U16&gt;130000,18,IF(U16&gt;64000,17,IF(U16&gt;32000,16,IF(U16&gt;16000,15,IF(U16&gt;8000,14,IF(U16&gt;4000,13,IF(U16&gt;2000,12,IF(U16&gt;1000,11,IF(U16&gt;500,10,IF(U16&gt;250,9,IF(U16&gt;130,8,IF(U16&gt;64,7,IF(U16&gt;32,6,IF(U16&gt;16,5,IF(U16&gt;8,4,IF(U16&gt;4,3,IF(U16&gt;2,2,IF(U16&gt;1,1,IF(U16&gt;0.5,0,IF(U16=0,0)))))))))))))))))))))))))))))),"")</f>
        <v/>
      </c>
      <c r="V29" s="47" t="str">
        <f aca="false">IF(V16&lt;&gt;"",IF(V16&gt;1300000000,28,IF(V16&gt;640000000,27,IF(V16&gt;320000000,26,IF(V16&gt;16000000,25,IF(V16&gt;8000000,24,IF(V16&gt;4000000,23,IF(V16&gt;2000000,22,IF(V16&gt;1000000,21,IF(V16&gt;500000,20,IF(V16&gt;250000,19,IF(V16&gt;130000,18,IF(V16&gt;64000,17,IF(V16&gt;32000,16,IF(V16&gt;16000,15,IF(V16&gt;8000,14,IF(V16&gt;4000,13,IF(V16&gt;2000,12,IF(V16&gt;1000,11,IF(V16&gt;500,10,IF(V16&gt;250,9,IF(V16&gt;130,8,IF(V16&gt;64,7,IF(V16&gt;32,6,IF(V16&gt;16,5,IF(V16&gt;8,4,IF(V16&gt;4,3,IF(V16&gt;2,2,IF(V16&gt;1,1,IF(V16&gt;0.5,0,IF(V16=0,0)))))))))))))))))))))))))))))),"")</f>
        <v/>
      </c>
      <c r="W29" s="47" t="str">
        <f aca="false">IF(W16&lt;&gt;"",IF(W16&gt;1300000000,28,IF(W16&gt;640000000,27,IF(W16&gt;320000000,26,IF(W16&gt;16000000,25,IF(W16&gt;8000000,24,IF(W16&gt;4000000,23,IF(W16&gt;2000000,22,IF(W16&gt;1000000,21,IF(W16&gt;500000,20,IF(W16&gt;250000,19,IF(W16&gt;130000,18,IF(W16&gt;64000,17,IF(W16&gt;32000,16,IF(W16&gt;16000,15,IF(W16&gt;8000,14,IF(W16&gt;4000,13,IF(W16&gt;2000,12,IF(W16&gt;1000,11,IF(W16&gt;500,10,IF(W16&gt;250,9,IF(W16&gt;130,8,IF(W16&gt;64,7,IF(W16&gt;32,6,IF(W16&gt;16,5,IF(W16&gt;8,4,IF(W16&gt;4,3,IF(W16&gt;2,2,IF(W16&gt;1,1,IF(W16&gt;0.5,0,IF(W16=0,0)))))))))))))))))))))))))))))),"")</f>
        <v/>
      </c>
      <c r="X29" s="47" t="str">
        <f aca="false">IF(X16&lt;&gt;"",IF(X16&gt;1300000000,28,IF(X16&gt;640000000,27,IF(X16&gt;320000000,26,IF(X16&gt;16000000,25,IF(X16&gt;8000000,24,IF(X16&gt;4000000,23,IF(X16&gt;2000000,22,IF(X16&gt;1000000,21,IF(X16&gt;500000,20,IF(X16&gt;250000,19,IF(X16&gt;130000,18,IF(X16&gt;64000,17,IF(X16&gt;32000,16,IF(X16&gt;16000,15,IF(X16&gt;8000,14,IF(X16&gt;4000,13,IF(X16&gt;2000,12,IF(X16&gt;1000,11,IF(X16&gt;500,10,IF(X16&gt;250,9,IF(X16&gt;130,8,IF(X16&gt;64,7,IF(X16&gt;32,6,IF(X16&gt;16,5,IF(X16&gt;8,4,IF(X16&gt;4,3,IF(X16&gt;2,2,IF(X16&gt;1,1,IF(X16&gt;0.5,0,IF(X16=0,0)))))))))))))))))))))))))))))),"")</f>
        <v/>
      </c>
      <c r="Y29" s="47" t="str">
        <f aca="false">IF(Y16&lt;&gt;"",IF(Y16&gt;1300000000,28,IF(Y16&gt;640000000,27,IF(Y16&gt;320000000,26,IF(Y16&gt;16000000,25,IF(Y16&gt;8000000,24,IF(Y16&gt;4000000,23,IF(Y16&gt;2000000,22,IF(Y16&gt;1000000,21,IF(Y16&gt;500000,20,IF(Y16&gt;250000,19,IF(Y16&gt;130000,18,IF(Y16&gt;64000,17,IF(Y16&gt;32000,16,IF(Y16&gt;16000,15,IF(Y16&gt;8000,14,IF(Y16&gt;4000,13,IF(Y16&gt;2000,12,IF(Y16&gt;1000,11,IF(Y16&gt;500,10,IF(Y16&gt;250,9,IF(Y16&gt;130,8,IF(Y16&gt;64,7,IF(Y16&gt;32,6,IF(Y16&gt;16,5,IF(Y16&gt;8,4,IF(Y16&gt;4,3,IF(Y16&gt;2,2,IF(Y16&gt;1,1,IF(Y16&gt;0.5,0,IF(Y16=0,0)))))))))))))))))))))))))))))),"")</f>
        <v/>
      </c>
      <c r="Z29" s="47" t="str">
        <f aca="false">IF(Z16&lt;&gt;"",IF(Z16&gt;1300000000,28,IF(Z16&gt;640000000,27,IF(Z16&gt;320000000,26,IF(Z16&gt;16000000,25,IF(Z16&gt;8000000,24,IF(Z16&gt;4000000,23,IF(Z16&gt;2000000,22,IF(Z16&gt;1000000,21,IF(Z16&gt;500000,20,IF(Z16&gt;250000,19,IF(Z16&gt;130000,18,IF(Z16&gt;64000,17,IF(Z16&gt;32000,16,IF(Z16&gt;16000,15,IF(Z16&gt;8000,14,IF(Z16&gt;4000,13,IF(Z16&gt;2000,12,IF(Z16&gt;1000,11,IF(Z16&gt;500,10,IF(Z16&gt;250,9,IF(Z16&gt;130,8,IF(Z16&gt;64,7,IF(Z16&gt;32,6,IF(Z16&gt;16,5,IF(Z16&gt;8,4,IF(Z16&gt;4,3,IF(Z16&gt;2,2,IF(Z16&gt;1,1,IF(Z16&gt;0.5,0,IF(Z16=0,0)))))))))))))))))))))))))))))),"")</f>
        <v/>
      </c>
      <c r="AA29" s="47" t="str">
        <f aca="false">IF(AA16&lt;&gt;"",IF(AA16&gt;1300000000,28,IF(AA16&gt;640000000,27,IF(AA16&gt;320000000,26,IF(AA16&gt;16000000,25,IF(AA16&gt;8000000,24,IF(AA16&gt;4000000,23,IF(AA16&gt;2000000,22,IF(AA16&gt;1000000,21,IF(AA16&gt;500000,20,IF(AA16&gt;250000,19,IF(AA16&gt;130000,18,IF(AA16&gt;64000,17,IF(AA16&gt;32000,16,IF(AA16&gt;16000,15,IF(AA16&gt;8000,14,IF(AA16&gt;4000,13,IF(AA16&gt;2000,12,IF(AA16&gt;1000,11,IF(AA16&gt;500,10,IF(AA16&gt;250,9,IF(AA16&gt;130,8,IF(AA16&gt;64,7,IF(AA16&gt;32,6,IF(AA16&gt;16,5,IF(AA16&gt;8,4,IF(AA16&gt;4,3,IF(AA16&gt;2,2,IF(AA16&gt;1,1,IF(AA16&gt;0.5,0,IF(AA16=0,0)))))))))))))))))))))))))))))),"")</f>
        <v/>
      </c>
      <c r="AB29" s="47" t="str">
        <f aca="false">IF(AB16&lt;&gt;"",IF(AB16&gt;1300000000,28,IF(AB16&gt;640000000,27,IF(AB16&gt;320000000,26,IF(AB16&gt;16000000,25,IF(AB16&gt;8000000,24,IF(AB16&gt;4000000,23,IF(AB16&gt;2000000,22,IF(AB16&gt;1000000,21,IF(AB16&gt;500000,20,IF(AB16&gt;250000,19,IF(AB16&gt;130000,18,IF(AB16&gt;64000,17,IF(AB16&gt;32000,16,IF(AB16&gt;16000,15,IF(AB16&gt;8000,14,IF(AB16&gt;4000,13,IF(AB16&gt;2000,12,IF(AB16&gt;1000,11,IF(AB16&gt;500,10,IF(AB16&gt;250,9,IF(AB16&gt;130,8,IF(AB16&gt;64,7,IF(AB16&gt;32,6,IF(AB16&gt;16,5,IF(AB16&gt;8,4,IF(AB16&gt;4,3,IF(AB16&gt;2,2,IF(AB16&gt;1,1,IF(AB16&gt;0.5,0,IF(AB16=0,0)))))))))))))))))))))))))))))),"")</f>
        <v/>
      </c>
      <c r="AC29" s="47" t="str">
        <f aca="false">IF(AC16&lt;&gt;"",IF(AC16&gt;1300000000,28,IF(AC16&gt;640000000,27,IF(AC16&gt;320000000,26,IF(AC16&gt;16000000,25,IF(AC16&gt;8000000,24,IF(AC16&gt;4000000,23,IF(AC16&gt;2000000,22,IF(AC16&gt;1000000,21,IF(AC16&gt;500000,20,IF(AC16&gt;250000,19,IF(AC16&gt;130000,18,IF(AC16&gt;64000,17,IF(AC16&gt;32000,16,IF(AC16&gt;16000,15,IF(AC16&gt;8000,14,IF(AC16&gt;4000,13,IF(AC16&gt;2000,12,IF(AC16&gt;1000,11,IF(AC16&gt;500,10,IF(AC16&gt;250,9,IF(AC16&gt;130,8,IF(AC16&gt;64,7,IF(AC16&gt;32,6,IF(AC16&gt;16,5,IF(AC16&gt;8,4,IF(AC16&gt;4,3,IF(AC16&gt;2,2,IF(AC16&gt;1,1,IF(AC16&gt;0.5,0,IF(AC16=0,0)))))))))))))))))))))))))))))),"")</f>
        <v/>
      </c>
      <c r="AD29" s="47" t="str">
        <f aca="false">IF(AD16&lt;&gt;"",IF(AD16&gt;1300000000,28,IF(AD16&gt;640000000,27,IF(AD16&gt;320000000,26,IF(AD16&gt;16000000,25,IF(AD16&gt;8000000,24,IF(AD16&gt;4000000,23,IF(AD16&gt;2000000,22,IF(AD16&gt;1000000,21,IF(AD16&gt;500000,20,IF(AD16&gt;250000,19,IF(AD16&gt;130000,18,IF(AD16&gt;64000,17,IF(AD16&gt;32000,16,IF(AD16&gt;16000,15,IF(AD16&gt;8000,14,IF(AD16&gt;4000,13,IF(AD16&gt;2000,12,IF(AD16&gt;1000,11,IF(AD16&gt;500,10,IF(AD16&gt;250,9,IF(AD16&gt;130,8,IF(AD16&gt;64,7,IF(AD16&gt;32,6,IF(AD16&gt;16,5,IF(AD16&gt;8,4,IF(AD16&gt;4,3,IF(AD16&gt;2,2,IF(AD16&gt;1,1,IF(AD16&gt;0.5,0,IF(AD16=0,0)))))))))))))))))))))))))))))),"")</f>
        <v/>
      </c>
      <c r="AE29" s="47" t="str">
        <f aca="false">IF(AE16&lt;&gt;"",IF(AE16&gt;1300000000,28,IF(AE16&gt;640000000,27,IF(AE16&gt;320000000,26,IF(AE16&gt;16000000,25,IF(AE16&gt;8000000,24,IF(AE16&gt;4000000,23,IF(AE16&gt;2000000,22,IF(AE16&gt;1000000,21,IF(AE16&gt;500000,20,IF(AE16&gt;250000,19,IF(AE16&gt;130000,18,IF(AE16&gt;64000,17,IF(AE16&gt;32000,16,IF(AE16&gt;16000,15,IF(AE16&gt;8000,14,IF(AE16&gt;4000,13,IF(AE16&gt;2000,12,IF(AE16&gt;1000,11,IF(AE16&gt;500,10,IF(AE16&gt;250,9,IF(AE16&gt;130,8,IF(AE16&gt;64,7,IF(AE16&gt;32,6,IF(AE16&gt;16,5,IF(AE16&gt;8,4,IF(AE16&gt;4,3,IF(AE16&gt;2,2,IF(AE16&gt;1,1,IF(AE16&gt;0.5,0,IF(AE16=0,0)))))))))))))))))))))))))))))),"")</f>
        <v/>
      </c>
      <c r="AF29" s="47" t="str">
        <f aca="false">IF(AF16&lt;&gt;"",IF(AF16&gt;1300000000,28,IF(AF16&gt;640000000,27,IF(AF16&gt;320000000,26,IF(AF16&gt;16000000,25,IF(AF16&gt;8000000,24,IF(AF16&gt;4000000,23,IF(AF16&gt;2000000,22,IF(AF16&gt;1000000,21,IF(AF16&gt;500000,20,IF(AF16&gt;250000,19,IF(AF16&gt;130000,18,IF(AF16&gt;64000,17,IF(AF16&gt;32000,16,IF(AF16&gt;16000,15,IF(AF16&gt;8000,14,IF(AF16&gt;4000,13,IF(AF16&gt;2000,12,IF(AF16&gt;1000,11,IF(AF16&gt;500,10,IF(AF16&gt;250,9,IF(AF16&gt;130,8,IF(AF16&gt;64,7,IF(AF16&gt;32,6,IF(AF16&gt;16,5,IF(AF16&gt;8,4,IF(AF16&gt;4,3,IF(AF16&gt;2,2,IF(AF16&gt;1,1,IF(AF16&gt;0.5,0,IF(AF16=0,0)))))))))))))))))))))))))))))),"")</f>
        <v/>
      </c>
      <c r="AG29" s="47" t="str">
        <f aca="false">IF(AG16&lt;&gt;"",IF(AG16&gt;1300000000,28,IF(AG16&gt;640000000,27,IF(AG16&gt;320000000,26,IF(AG16&gt;16000000,25,IF(AG16&gt;8000000,24,IF(AG16&gt;4000000,23,IF(AG16&gt;2000000,22,IF(AG16&gt;1000000,21,IF(AG16&gt;500000,20,IF(AG16&gt;250000,19,IF(AG16&gt;130000,18,IF(AG16&gt;64000,17,IF(AG16&gt;32000,16,IF(AG16&gt;16000,15,IF(AG16&gt;8000,14,IF(AG16&gt;4000,13,IF(AG16&gt;2000,12,IF(AG16&gt;1000,11,IF(AG16&gt;500,10,IF(AG16&gt;250,9,IF(AG16&gt;130,8,IF(AG16&gt;64,7,IF(AG16&gt;32,6,IF(AG16&gt;16,5,IF(AG16&gt;8,4,IF(AG16&gt;4,3,IF(AG16&gt;2,2,IF(AG16&gt;1,1,IF(AG16&gt;0.5,0,IF(AG16=0,0)))))))))))))))))))))))))))))),"")</f>
        <v/>
      </c>
      <c r="AH29" s="47" t="str">
        <f aca="false">IF(AH16&lt;&gt;"",IF(AH16&gt;1300000000,28,IF(AH16&gt;640000000,27,IF(AH16&gt;320000000,26,IF(AH16&gt;16000000,25,IF(AH16&gt;8000000,24,IF(AH16&gt;4000000,23,IF(AH16&gt;2000000,22,IF(AH16&gt;1000000,21,IF(AH16&gt;500000,20,IF(AH16&gt;250000,19,IF(AH16&gt;130000,18,IF(AH16&gt;64000,17,IF(AH16&gt;32000,16,IF(AH16&gt;16000,15,IF(AH16&gt;8000,14,IF(AH16&gt;4000,13,IF(AH16&gt;2000,12,IF(AH16&gt;1000,11,IF(AH16&gt;500,10,IF(AH16&gt;250,9,IF(AH16&gt;130,8,IF(AH16&gt;64,7,IF(AH16&gt;32,6,IF(AH16&gt;16,5,IF(AH16&gt;8,4,IF(AH16&gt;4,3,IF(AH16&gt;2,2,IF(AH16&gt;1,1,IF(AH16&gt;0.5,0,IF(AH16=0,0)))))))))))))))))))))))))))))),"")</f>
        <v/>
      </c>
      <c r="AI29" s="47" t="str">
        <f aca="false">IF(AI16&lt;&gt;"",IF(AI16&gt;1300000000,28,IF(AI16&gt;640000000,27,IF(AI16&gt;320000000,26,IF(AI16&gt;16000000,25,IF(AI16&gt;8000000,24,IF(AI16&gt;4000000,23,IF(AI16&gt;2000000,22,IF(AI16&gt;1000000,21,IF(AI16&gt;500000,20,IF(AI16&gt;250000,19,IF(AI16&gt;130000,18,IF(AI16&gt;64000,17,IF(AI16&gt;32000,16,IF(AI16&gt;16000,15,IF(AI16&gt;8000,14,IF(AI16&gt;4000,13,IF(AI16&gt;2000,12,IF(AI16&gt;1000,11,IF(AI16&gt;500,10,IF(AI16&gt;250,9,IF(AI16&gt;130,8,IF(AI16&gt;64,7,IF(AI16&gt;32,6,IF(AI16&gt;16,5,IF(AI16&gt;8,4,IF(AI16&gt;4,3,IF(AI16&gt;2,2,IF(AI16&gt;1,1,IF(AI16&gt;0.5,0,IF(AI16=0,0)))))))))))))))))))))))))))))),"")</f>
        <v/>
      </c>
      <c r="AJ29" s="47" t="str">
        <f aca="false">IF(AJ16&lt;&gt;"",IF(AJ16&gt;1300000000,28,IF(AJ16&gt;640000000,27,IF(AJ16&gt;320000000,26,IF(AJ16&gt;16000000,25,IF(AJ16&gt;8000000,24,IF(AJ16&gt;4000000,23,IF(AJ16&gt;2000000,22,IF(AJ16&gt;1000000,21,IF(AJ16&gt;500000,20,IF(AJ16&gt;250000,19,IF(AJ16&gt;130000,18,IF(AJ16&gt;64000,17,IF(AJ16&gt;32000,16,IF(AJ16&gt;16000,15,IF(AJ16&gt;8000,14,IF(AJ16&gt;4000,13,IF(AJ16&gt;2000,12,IF(AJ16&gt;1000,11,IF(AJ16&gt;500,10,IF(AJ16&gt;250,9,IF(AJ16&gt;130,8,IF(AJ16&gt;64,7,IF(AJ16&gt;32,6,IF(AJ16&gt;16,5,IF(AJ16&gt;8,4,IF(AJ16&gt;4,3,IF(AJ16&gt;2,2,IF(AJ16&gt;1,1,IF(AJ16&gt;0.5,0,IF(AJ16=0,0)))))))))))))))))))))))))))))),"")</f>
        <v/>
      </c>
      <c r="AK29" s="47" t="str">
        <f aca="false">IF(AK16&lt;&gt;"",IF(AK16&gt;1300000000,28,IF(AK16&gt;640000000,27,IF(AK16&gt;320000000,26,IF(AK16&gt;16000000,25,IF(AK16&gt;8000000,24,IF(AK16&gt;4000000,23,IF(AK16&gt;2000000,22,IF(AK16&gt;1000000,21,IF(AK16&gt;500000,20,IF(AK16&gt;250000,19,IF(AK16&gt;130000,18,IF(AK16&gt;64000,17,IF(AK16&gt;32000,16,IF(AK16&gt;16000,15,IF(AK16&gt;8000,14,IF(AK16&gt;4000,13,IF(AK16&gt;2000,12,IF(AK16&gt;1000,11,IF(AK16&gt;500,10,IF(AK16&gt;250,9,IF(AK16&gt;130,8,IF(AK16&gt;64,7,IF(AK16&gt;32,6,IF(AK16&gt;16,5,IF(AK16&gt;8,4,IF(AK16&gt;4,3,IF(AK16&gt;2,2,IF(AK16&gt;1,1,IF(AK16&gt;0.5,0,IF(AK16=0,0)))))))))))))))))))))))))))))),"")</f>
        <v/>
      </c>
      <c r="AL29" s="33"/>
      <c r="AM29" s="34"/>
      <c r="AN29" s="34"/>
      <c r="AO29" s="34"/>
      <c r="AP29" s="34"/>
      <c r="AQ29" s="34"/>
      <c r="AR29" s="40"/>
    </row>
    <row r="30" s="48" customFormat="true" ht="13.8" hidden="false" customHeight="false" outlineLevel="0" collapsed="false">
      <c r="A30" s="28"/>
      <c r="B30" s="36" t="s">
        <v>56</v>
      </c>
      <c r="C30" s="48" t="s">
        <v>60</v>
      </c>
      <c r="D30" s="48" t="s">
        <v>61</v>
      </c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33"/>
      <c r="AM30" s="34"/>
      <c r="AN30" s="34"/>
      <c r="AO30" s="34"/>
      <c r="AP30" s="34"/>
      <c r="AQ30" s="34"/>
      <c r="AR30" s="50"/>
    </row>
    <row r="31" s="53" customFormat="true" ht="13.8" hidden="false" customHeight="false" outlineLevel="0" collapsed="false">
      <c r="A31" s="51" t="s">
        <v>62</v>
      </c>
      <c r="B31" s="52"/>
      <c r="C31" s="53" t="s">
        <v>42</v>
      </c>
      <c r="D31" s="53" t="s">
        <v>63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5"/>
      <c r="AL31" s="3"/>
      <c r="AM31" s="4"/>
      <c r="AN31" s="4"/>
      <c r="AO31" s="4"/>
      <c r="AP31" s="4"/>
      <c r="AQ31" s="4"/>
      <c r="AR31" s="56"/>
    </row>
    <row r="32" s="58" customFormat="true" ht="13.8" hidden="false" customHeight="false" outlineLevel="0" collapsed="false">
      <c r="A32" s="51"/>
      <c r="B32" s="57"/>
      <c r="C32" s="58" t="s">
        <v>44</v>
      </c>
      <c r="D32" s="58" t="s">
        <v>64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60"/>
      <c r="AL32" s="3"/>
      <c r="AM32" s="4"/>
      <c r="AN32" s="4"/>
      <c r="AO32" s="4"/>
      <c r="AP32" s="4"/>
      <c r="AQ32" s="4"/>
      <c r="AR32" s="61"/>
    </row>
    <row r="33" s="58" customFormat="true" ht="13.8" hidden="false" customHeight="false" outlineLevel="0" collapsed="false">
      <c r="A33" s="51"/>
      <c r="B33" s="57"/>
      <c r="C33" s="58" t="s">
        <v>46</v>
      </c>
      <c r="D33" s="58" t="s">
        <v>65</v>
      </c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60"/>
      <c r="AL33" s="3"/>
      <c r="AM33" s="4"/>
      <c r="AN33" s="4"/>
      <c r="AO33" s="4"/>
      <c r="AP33" s="4"/>
      <c r="AQ33" s="4"/>
      <c r="AR33" s="61"/>
    </row>
    <row r="34" s="58" customFormat="true" ht="13.8" hidden="false" customHeight="false" outlineLevel="0" collapsed="false">
      <c r="A34" s="51"/>
      <c r="B34" s="57"/>
      <c r="C34" s="58" t="s">
        <v>41</v>
      </c>
      <c r="D34" s="58" t="s">
        <v>66</v>
      </c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60"/>
      <c r="AL34" s="3"/>
      <c r="AM34" s="4"/>
      <c r="AN34" s="4"/>
      <c r="AO34" s="4"/>
      <c r="AP34" s="4"/>
      <c r="AQ34" s="4"/>
      <c r="AR34" s="61"/>
    </row>
    <row r="35" s="58" customFormat="true" ht="13.8" hidden="false" customHeight="false" outlineLevel="0" collapsed="false">
      <c r="A35" s="51"/>
      <c r="B35" s="57"/>
      <c r="C35" s="58" t="s">
        <v>67</v>
      </c>
      <c r="D35" s="58" t="s">
        <v>68</v>
      </c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60"/>
      <c r="AL35" s="3"/>
      <c r="AM35" s="4"/>
      <c r="AN35" s="4"/>
      <c r="AO35" s="4"/>
      <c r="AP35" s="4"/>
      <c r="AQ35" s="4"/>
      <c r="AR35" s="61"/>
    </row>
    <row r="36" s="58" customFormat="true" ht="13.8" hidden="false" customHeight="false" outlineLevel="0" collapsed="false">
      <c r="A36" s="51"/>
      <c r="B36" s="57" t="s">
        <v>69</v>
      </c>
      <c r="C36" s="58" t="s">
        <v>70</v>
      </c>
      <c r="D36" s="58" t="s">
        <v>71</v>
      </c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60"/>
      <c r="AL36" s="3"/>
      <c r="AM36" s="4"/>
      <c r="AN36" s="4"/>
      <c r="AO36" s="4"/>
      <c r="AP36" s="4"/>
      <c r="AQ36" s="4"/>
      <c r="AR36" s="61"/>
    </row>
    <row r="37" s="58" customFormat="true" ht="28.5" hidden="false" customHeight="true" outlineLevel="0" collapsed="false">
      <c r="A37" s="51"/>
      <c r="B37" s="62" t="s">
        <v>72</v>
      </c>
      <c r="C37" s="57" t="s">
        <v>73</v>
      </c>
      <c r="D37" s="58" t="s">
        <v>74</v>
      </c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0"/>
      <c r="AL37" s="3"/>
      <c r="AM37" s="4"/>
      <c r="AN37" s="4"/>
      <c r="AO37" s="4"/>
      <c r="AP37" s="4"/>
      <c r="AQ37" s="4"/>
      <c r="AR37" s="61"/>
    </row>
    <row r="38" s="58" customFormat="true" ht="13.8" hidden="false" customHeight="false" outlineLevel="0" collapsed="false">
      <c r="A38" s="51"/>
      <c r="B38" s="62"/>
      <c r="C38" s="57" t="s">
        <v>75</v>
      </c>
      <c r="D38" s="58" t="s">
        <v>76</v>
      </c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0"/>
      <c r="AL38" s="3"/>
      <c r="AM38" s="4"/>
      <c r="AN38" s="4"/>
      <c r="AO38" s="4"/>
      <c r="AP38" s="4"/>
      <c r="AQ38" s="4"/>
      <c r="AR38" s="61"/>
    </row>
    <row r="39" s="58" customFormat="true" ht="13.8" hidden="false" customHeight="false" outlineLevel="0" collapsed="false">
      <c r="A39" s="51"/>
      <c r="B39" s="62"/>
      <c r="C39" s="57" t="s">
        <v>77</v>
      </c>
      <c r="D39" s="58" t="s">
        <v>78</v>
      </c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0"/>
      <c r="AL39" s="3"/>
      <c r="AM39" s="4"/>
      <c r="AN39" s="4"/>
      <c r="AO39" s="4"/>
      <c r="AP39" s="4"/>
      <c r="AQ39" s="4"/>
      <c r="AR39" s="61"/>
    </row>
    <row r="40" s="58" customFormat="true" ht="13.8" hidden="false" customHeight="false" outlineLevel="0" collapsed="false">
      <c r="A40" s="51"/>
      <c r="B40" s="62"/>
      <c r="C40" s="57" t="s">
        <v>79</v>
      </c>
      <c r="D40" s="58" t="s">
        <v>80</v>
      </c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0"/>
      <c r="AL40" s="3"/>
      <c r="AM40" s="4"/>
      <c r="AN40" s="4"/>
      <c r="AO40" s="4"/>
      <c r="AP40" s="4"/>
      <c r="AQ40" s="4"/>
      <c r="AR40" s="61"/>
    </row>
    <row r="41" s="58" customFormat="true" ht="13.8" hidden="false" customHeight="false" outlineLevel="0" collapsed="false">
      <c r="A41" s="51"/>
      <c r="B41" s="62"/>
      <c r="C41" s="57" t="s">
        <v>81</v>
      </c>
      <c r="D41" s="58" t="s">
        <v>82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0"/>
      <c r="AL41" s="3"/>
      <c r="AM41" s="4"/>
      <c r="AN41" s="4"/>
      <c r="AO41" s="4"/>
      <c r="AP41" s="4"/>
      <c r="AQ41" s="4"/>
      <c r="AR41" s="61"/>
    </row>
    <row r="42" s="58" customFormat="true" ht="13.8" hidden="false" customHeight="false" outlineLevel="0" collapsed="false">
      <c r="A42" s="51"/>
      <c r="B42" s="62"/>
      <c r="C42" s="57" t="s">
        <v>83</v>
      </c>
      <c r="D42" s="58" t="s">
        <v>84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0"/>
      <c r="AL42" s="3"/>
      <c r="AM42" s="4"/>
      <c r="AN42" s="4"/>
      <c r="AO42" s="4"/>
      <c r="AP42" s="4"/>
      <c r="AQ42" s="4"/>
      <c r="AR42" s="61"/>
    </row>
    <row r="43" s="58" customFormat="true" ht="13.8" hidden="false" customHeight="false" outlineLevel="0" collapsed="false">
      <c r="A43" s="51"/>
      <c r="B43" s="62"/>
      <c r="C43" s="57" t="s">
        <v>85</v>
      </c>
      <c r="D43" s="58" t="s">
        <v>86</v>
      </c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0"/>
      <c r="AL43" s="3"/>
      <c r="AM43" s="4"/>
      <c r="AN43" s="4"/>
      <c r="AO43" s="4"/>
      <c r="AP43" s="4"/>
      <c r="AQ43" s="4"/>
      <c r="AR43" s="61"/>
    </row>
    <row r="44" s="58" customFormat="true" ht="13.8" hidden="false" customHeight="false" outlineLevel="0" collapsed="false">
      <c r="A44" s="51"/>
      <c r="B44" s="62"/>
      <c r="C44" s="57" t="s">
        <v>87</v>
      </c>
      <c r="D44" s="58" t="s">
        <v>88</v>
      </c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0"/>
      <c r="AL44" s="3"/>
      <c r="AM44" s="4"/>
      <c r="AN44" s="4"/>
      <c r="AO44" s="4"/>
      <c r="AP44" s="4"/>
      <c r="AQ44" s="4"/>
      <c r="AR44" s="61"/>
    </row>
    <row r="45" s="58" customFormat="true" ht="13.8" hidden="false" customHeight="false" outlineLevel="0" collapsed="false">
      <c r="A45" s="51"/>
      <c r="B45" s="62"/>
      <c r="C45" s="57" t="s">
        <v>89</v>
      </c>
      <c r="D45" s="58" t="s">
        <v>90</v>
      </c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0"/>
      <c r="AL45" s="3"/>
      <c r="AM45" s="4"/>
      <c r="AN45" s="4"/>
      <c r="AO45" s="4"/>
      <c r="AP45" s="4"/>
      <c r="AQ45" s="4"/>
      <c r="AR45" s="61"/>
    </row>
    <row r="46" s="58" customFormat="true" ht="13.8" hidden="false" customHeight="false" outlineLevel="0" collapsed="false">
      <c r="A46" s="51"/>
      <c r="B46" s="62"/>
      <c r="C46" s="57" t="s">
        <v>91</v>
      </c>
      <c r="D46" s="58" t="s">
        <v>92</v>
      </c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0"/>
      <c r="AL46" s="3"/>
      <c r="AM46" s="4"/>
      <c r="AN46" s="4"/>
      <c r="AO46" s="4"/>
      <c r="AP46" s="4"/>
      <c r="AQ46" s="4"/>
      <c r="AR46" s="61"/>
    </row>
    <row r="47" s="58" customFormat="true" ht="13.8" hidden="false" customHeight="false" outlineLevel="0" collapsed="false">
      <c r="A47" s="51"/>
      <c r="B47" s="62"/>
      <c r="C47" s="57" t="s">
        <v>93</v>
      </c>
      <c r="D47" s="58" t="s">
        <v>94</v>
      </c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0"/>
      <c r="AL47" s="3"/>
      <c r="AM47" s="4"/>
      <c r="AN47" s="4"/>
      <c r="AO47" s="4"/>
      <c r="AP47" s="4"/>
      <c r="AQ47" s="4"/>
      <c r="AR47" s="61"/>
    </row>
    <row r="48" s="58" customFormat="true" ht="13.8" hidden="false" customHeight="false" outlineLevel="0" collapsed="false">
      <c r="A48" s="51"/>
      <c r="B48" s="62"/>
      <c r="C48" s="57" t="s">
        <v>95</v>
      </c>
      <c r="D48" s="58" t="s">
        <v>96</v>
      </c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0"/>
      <c r="AL48" s="3"/>
      <c r="AM48" s="4"/>
      <c r="AN48" s="4"/>
      <c r="AO48" s="4"/>
      <c r="AP48" s="4"/>
      <c r="AQ48" s="4"/>
      <c r="AR48" s="61"/>
    </row>
    <row r="49" s="58" customFormat="true" ht="13.8" hidden="false" customHeight="false" outlineLevel="0" collapsed="false">
      <c r="A49" s="51"/>
      <c r="B49" s="62"/>
      <c r="C49" s="57" t="s">
        <v>97</v>
      </c>
      <c r="D49" s="58" t="s">
        <v>98</v>
      </c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0"/>
      <c r="AL49" s="3"/>
      <c r="AM49" s="4"/>
      <c r="AN49" s="4"/>
      <c r="AO49" s="4"/>
      <c r="AP49" s="4"/>
      <c r="AQ49" s="4"/>
      <c r="AR49" s="61"/>
    </row>
    <row r="50" s="58" customFormat="true" ht="13.8" hidden="false" customHeight="false" outlineLevel="0" collapsed="false">
      <c r="A50" s="51"/>
      <c r="B50" s="62"/>
      <c r="C50" s="57" t="s">
        <v>99</v>
      </c>
      <c r="D50" s="58" t="s">
        <v>100</v>
      </c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0"/>
      <c r="AL50" s="3"/>
      <c r="AM50" s="4"/>
      <c r="AN50" s="4"/>
      <c r="AO50" s="4"/>
      <c r="AP50" s="4"/>
      <c r="AQ50" s="4"/>
      <c r="AR50" s="61"/>
    </row>
    <row r="51" s="69" customFormat="true" ht="13.8" hidden="false" customHeight="false" outlineLevel="0" collapsed="false">
      <c r="A51" s="51"/>
      <c r="B51" s="62"/>
      <c r="C51" s="64" t="s">
        <v>101</v>
      </c>
      <c r="D51" s="65" t="s">
        <v>102</v>
      </c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7"/>
      <c r="AL51" s="3"/>
      <c r="AM51" s="4"/>
      <c r="AN51" s="4"/>
      <c r="AO51" s="4"/>
      <c r="AP51" s="4"/>
      <c r="AQ51" s="4"/>
      <c r="AR51" s="68"/>
    </row>
    <row r="52" s="72" customFormat="true" ht="13.8" hidden="false" customHeight="false" outlineLevel="0" collapsed="false">
      <c r="A52" s="51"/>
      <c r="B52" s="62"/>
      <c r="C52" s="70" t="s">
        <v>103</v>
      </c>
      <c r="D52" s="71" t="s">
        <v>104</v>
      </c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7"/>
      <c r="AL52" s="3"/>
      <c r="AM52" s="4"/>
      <c r="AN52" s="4"/>
      <c r="AO52" s="4"/>
      <c r="AP52" s="4"/>
      <c r="AQ52" s="4"/>
    </row>
    <row r="53" s="30" customFormat="true" ht="13.8" hidden="false" customHeight="false" outlineLevel="0" collapsed="false">
      <c r="A53" s="31" t="s">
        <v>105</v>
      </c>
      <c r="B53" s="29" t="s">
        <v>17</v>
      </c>
      <c r="C53" s="30" t="s">
        <v>106</v>
      </c>
      <c r="D53" s="30" t="s">
        <v>107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2"/>
      <c r="AL53" s="33"/>
      <c r="AM53" s="34"/>
      <c r="AN53" s="34"/>
      <c r="AO53" s="34"/>
      <c r="AP53" s="34"/>
      <c r="AQ53" s="34"/>
      <c r="AR53" s="35"/>
    </row>
    <row r="54" s="37" customFormat="true" ht="13.8" hidden="false" customHeight="false" outlineLevel="0" collapsed="false">
      <c r="A54" s="31"/>
      <c r="B54" s="36" t="s">
        <v>17</v>
      </c>
      <c r="C54" s="37" t="s">
        <v>108</v>
      </c>
      <c r="D54" s="37" t="s">
        <v>109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9"/>
      <c r="AL54" s="33"/>
      <c r="AM54" s="34"/>
      <c r="AN54" s="34"/>
      <c r="AO54" s="34"/>
      <c r="AP54" s="34"/>
      <c r="AQ54" s="34"/>
      <c r="AR54" s="40"/>
    </row>
    <row r="55" s="37" customFormat="true" ht="13.8" hidden="false" customHeight="false" outlineLevel="0" collapsed="false">
      <c r="A55" s="31"/>
      <c r="B55" s="36" t="s">
        <v>17</v>
      </c>
      <c r="C55" s="37" t="s">
        <v>110</v>
      </c>
      <c r="D55" s="37" t="s">
        <v>111</v>
      </c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9"/>
      <c r="AL55" s="33"/>
      <c r="AM55" s="34"/>
      <c r="AN55" s="34"/>
      <c r="AO55" s="34"/>
      <c r="AP55" s="34"/>
      <c r="AQ55" s="34"/>
      <c r="AR55" s="40"/>
    </row>
    <row r="56" s="37" customFormat="true" ht="13.8" hidden="false" customHeight="false" outlineLevel="0" collapsed="false">
      <c r="A56" s="31"/>
      <c r="B56" s="36" t="s">
        <v>17</v>
      </c>
      <c r="C56" s="37" t="s">
        <v>112</v>
      </c>
      <c r="D56" s="37" t="s">
        <v>113</v>
      </c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9"/>
      <c r="AL56" s="33"/>
      <c r="AM56" s="34"/>
      <c r="AN56" s="34"/>
      <c r="AO56" s="34"/>
      <c r="AP56" s="34"/>
      <c r="AQ56" s="34"/>
      <c r="AR56" s="40"/>
    </row>
    <row r="57" s="37" customFormat="true" ht="13.8" hidden="false" customHeight="false" outlineLevel="0" collapsed="false">
      <c r="A57" s="31"/>
      <c r="B57" s="36" t="s">
        <v>17</v>
      </c>
      <c r="C57" s="37" t="s">
        <v>114</v>
      </c>
      <c r="D57" s="37" t="s">
        <v>115</v>
      </c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9"/>
      <c r="AL57" s="33"/>
      <c r="AM57" s="34"/>
      <c r="AN57" s="34"/>
      <c r="AO57" s="34"/>
      <c r="AP57" s="34"/>
      <c r="AQ57" s="34"/>
      <c r="AR57" s="40"/>
    </row>
    <row r="58" s="37" customFormat="true" ht="13.8" hidden="false" customHeight="false" outlineLevel="0" collapsed="false">
      <c r="A58" s="31"/>
      <c r="B58" s="36" t="s">
        <v>17</v>
      </c>
      <c r="C58" s="37" t="s">
        <v>116</v>
      </c>
      <c r="D58" s="37" t="s">
        <v>117</v>
      </c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9"/>
      <c r="AL58" s="33"/>
      <c r="AM58" s="34"/>
      <c r="AN58" s="34"/>
      <c r="AO58" s="34"/>
      <c r="AP58" s="34"/>
      <c r="AQ58" s="34"/>
      <c r="AR58" s="40"/>
    </row>
    <row r="59" s="37" customFormat="true" ht="13.8" hidden="false" customHeight="false" outlineLevel="0" collapsed="false">
      <c r="A59" s="31"/>
      <c r="B59" s="36" t="s">
        <v>17</v>
      </c>
      <c r="C59" s="37" t="s">
        <v>118</v>
      </c>
      <c r="D59" s="37" t="s">
        <v>119</v>
      </c>
      <c r="E59" s="41" t="str">
        <f aca="false">IF(E53&lt;&gt;"",SUM(E53:E58),"")</f>
        <v/>
      </c>
      <c r="F59" s="41" t="str">
        <f aca="false">IF(F53&lt;&gt;"",SUM(F53:F58),"")</f>
        <v/>
      </c>
      <c r="G59" s="41" t="str">
        <f aca="false">IF(G53&lt;&gt;"",SUM(G53:G58),"")</f>
        <v/>
      </c>
      <c r="H59" s="41" t="str">
        <f aca="false">IF(H53&lt;&gt;"",SUM(H53:H58),"")</f>
        <v/>
      </c>
      <c r="I59" s="41" t="str">
        <f aca="false">IF(I53&lt;&gt;"",SUM(I53:I58),"")</f>
        <v/>
      </c>
      <c r="J59" s="41" t="str">
        <f aca="false">IF(J53&lt;&gt;"",SUM(J53:J58),"")</f>
        <v/>
      </c>
      <c r="K59" s="41" t="str">
        <f aca="false">IF(K53&lt;&gt;"",SUM(K53:K58),"")</f>
        <v/>
      </c>
      <c r="L59" s="41" t="str">
        <f aca="false">IF(L53&lt;&gt;"",SUM(L53:L58),"")</f>
        <v/>
      </c>
      <c r="M59" s="41" t="str">
        <f aca="false">IF(M53&lt;&gt;"",SUM(M53:M58),"")</f>
        <v/>
      </c>
      <c r="N59" s="41" t="str">
        <f aca="false">IF(N53&lt;&gt;"",SUM(N53:N58),"")</f>
        <v/>
      </c>
      <c r="O59" s="41" t="str">
        <f aca="false">IF(O53&lt;&gt;"",SUM(O53:O58),"")</f>
        <v/>
      </c>
      <c r="P59" s="41" t="str">
        <f aca="false">IF(P53&lt;&gt;"",SUM(P53:P58),"")</f>
        <v/>
      </c>
      <c r="Q59" s="41" t="str">
        <f aca="false">IF(Q53&lt;&gt;"",SUM(Q53:Q58),"")</f>
        <v/>
      </c>
      <c r="R59" s="41" t="str">
        <f aca="false">IF(R53&lt;&gt;"",SUM(R53:R58),"")</f>
        <v/>
      </c>
      <c r="S59" s="41" t="str">
        <f aca="false">IF(S53&lt;&gt;"",SUM(S53:S58),"")</f>
        <v/>
      </c>
      <c r="T59" s="41" t="str">
        <f aca="false">IF(T53&lt;&gt;"",SUM(T53:T58),"")</f>
        <v/>
      </c>
      <c r="U59" s="41" t="str">
        <f aca="false">IF(U53&lt;&gt;"",SUM(U53:U58),"")</f>
        <v/>
      </c>
      <c r="V59" s="41" t="str">
        <f aca="false">IF(V53&lt;&gt;"",SUM(V53:V58),"")</f>
        <v/>
      </c>
      <c r="W59" s="41" t="str">
        <f aca="false">IF(W53&lt;&gt;"",SUM(W53:W58),"")</f>
        <v/>
      </c>
      <c r="X59" s="41" t="str">
        <f aca="false">IF(X53&lt;&gt;"",SUM(X53:X58),"")</f>
        <v/>
      </c>
      <c r="Y59" s="41" t="str">
        <f aca="false">IF(Y53&lt;&gt;"",SUM(Y53:Y58),"")</f>
        <v/>
      </c>
      <c r="Z59" s="41" t="str">
        <f aca="false">IF(Z53&lt;&gt;"",SUM(Z53:Z58),"")</f>
        <v/>
      </c>
      <c r="AA59" s="41" t="str">
        <f aca="false">IF(AA53&lt;&gt;"",SUM(AA53:AA58),"")</f>
        <v/>
      </c>
      <c r="AB59" s="41" t="str">
        <f aca="false">IF(AB53&lt;&gt;"",SUM(AB53:AB58),"")</f>
        <v/>
      </c>
      <c r="AC59" s="41" t="str">
        <f aca="false">IF(AC53&lt;&gt;"",SUM(AC53:AC58),"")</f>
        <v/>
      </c>
      <c r="AD59" s="41" t="str">
        <f aca="false">IF(AD53&lt;&gt;"",SUM(AD53:AD58),"")</f>
        <v/>
      </c>
      <c r="AE59" s="41" t="str">
        <f aca="false">IF(AE53&lt;&gt;"",SUM(AE53:AE58),"")</f>
        <v/>
      </c>
      <c r="AF59" s="41" t="str">
        <f aca="false">IF(AF53&lt;&gt;"",SUM(AF53:AF58),"")</f>
        <v/>
      </c>
      <c r="AG59" s="41" t="str">
        <f aca="false">IF(AG53&lt;&gt;"",SUM(AG53:AG58),"")</f>
        <v/>
      </c>
      <c r="AH59" s="41" t="str">
        <f aca="false">IF(AH53&lt;&gt;"",SUM(AH53:AH58),"")</f>
        <v/>
      </c>
      <c r="AI59" s="41" t="str">
        <f aca="false">IF(AI53&lt;&gt;"",SUM(AI53:AI58),"")</f>
        <v/>
      </c>
      <c r="AJ59" s="41" t="str">
        <f aca="false">IF(AJ53&lt;&gt;"",SUM(AJ53:AJ58),"")</f>
        <v/>
      </c>
      <c r="AK59" s="42" t="str">
        <f aca="false">IF(AK53&lt;&gt;"",SUM(AK53:AK58),"")</f>
        <v/>
      </c>
      <c r="AL59" s="33"/>
      <c r="AM59" s="34"/>
      <c r="AN59" s="34"/>
      <c r="AO59" s="34"/>
      <c r="AP59" s="34"/>
      <c r="AQ59" s="34"/>
      <c r="AR59" s="40"/>
    </row>
    <row r="60" s="37" customFormat="true" ht="13.8" hidden="false" customHeight="false" outlineLevel="0" collapsed="false">
      <c r="A60" s="31"/>
      <c r="B60" s="36" t="s">
        <v>17</v>
      </c>
      <c r="C60" s="37" t="s">
        <v>120</v>
      </c>
      <c r="D60" s="37" t="s">
        <v>121</v>
      </c>
      <c r="E60" s="43" t="str">
        <f aca="false">IF(E54&lt;&gt;"",SUM(E54:E58),"")</f>
        <v/>
      </c>
      <c r="F60" s="43" t="str">
        <f aca="false">IF(F54&lt;&gt;"",SUM(F54:F58),"")</f>
        <v/>
      </c>
      <c r="G60" s="43" t="str">
        <f aca="false">IF(G54&lt;&gt;"",SUM(G54:G58),"")</f>
        <v/>
      </c>
      <c r="H60" s="43" t="str">
        <f aca="false">IF(H54&lt;&gt;"",SUM(H54:H58),"")</f>
        <v/>
      </c>
      <c r="I60" s="43" t="str">
        <f aca="false">IF(I54&lt;&gt;"",SUM(I54:I58),"")</f>
        <v/>
      </c>
      <c r="J60" s="43" t="str">
        <f aca="false">IF(J54&lt;&gt;"",SUM(J54:J58),"")</f>
        <v/>
      </c>
      <c r="K60" s="43" t="str">
        <f aca="false">IF(K54&lt;&gt;"",SUM(K54:K58),"")</f>
        <v/>
      </c>
      <c r="L60" s="43" t="str">
        <f aca="false">IF(L54&lt;&gt;"",SUM(L54:L58),"")</f>
        <v/>
      </c>
      <c r="M60" s="43" t="str">
        <f aca="false">IF(M54&lt;&gt;"",SUM(M54:M58),"")</f>
        <v/>
      </c>
      <c r="N60" s="43" t="str">
        <f aca="false">IF(N54&lt;&gt;"",SUM(N54:N58),"")</f>
        <v/>
      </c>
      <c r="O60" s="43" t="str">
        <f aca="false">IF(O54&lt;&gt;"",SUM(O54:O58),"")</f>
        <v/>
      </c>
      <c r="P60" s="43" t="str">
        <f aca="false">IF(P54&lt;&gt;"",SUM(P54:P58),"")</f>
        <v/>
      </c>
      <c r="Q60" s="43" t="str">
        <f aca="false">IF(Q54&lt;&gt;"",SUM(Q54:Q58),"")</f>
        <v/>
      </c>
      <c r="R60" s="43" t="str">
        <f aca="false">IF(R54&lt;&gt;"",SUM(R54:R58),"")</f>
        <v/>
      </c>
      <c r="S60" s="43" t="str">
        <f aca="false">IF(S54&lt;&gt;"",SUM(S54:S58),"")</f>
        <v/>
      </c>
      <c r="T60" s="43" t="str">
        <f aca="false">IF(T54&lt;&gt;"",SUM(T54:T58),"")</f>
        <v/>
      </c>
      <c r="U60" s="43" t="str">
        <f aca="false">IF(U54&lt;&gt;"",SUM(U54:U58),"")</f>
        <v/>
      </c>
      <c r="V60" s="43" t="str">
        <f aca="false">IF(V54&lt;&gt;"",SUM(V54:V58),"")</f>
        <v/>
      </c>
      <c r="W60" s="43" t="str">
        <f aca="false">IF(W54&lt;&gt;"",SUM(W54:W58),"")</f>
        <v/>
      </c>
      <c r="X60" s="43" t="str">
        <f aca="false">IF(X54&lt;&gt;"",SUM(X54:X58),"")</f>
        <v/>
      </c>
      <c r="Y60" s="43" t="str">
        <f aca="false">IF(Y54&lt;&gt;"",SUM(Y54:Y58),"")</f>
        <v/>
      </c>
      <c r="Z60" s="43" t="str">
        <f aca="false">IF(Z54&lt;&gt;"",SUM(Z54:Z58),"")</f>
        <v/>
      </c>
      <c r="AA60" s="43" t="str">
        <f aca="false">IF(AA54&lt;&gt;"",SUM(AA54:AA58),"")</f>
        <v/>
      </c>
      <c r="AB60" s="43" t="str">
        <f aca="false">IF(AB54&lt;&gt;"",SUM(AB54:AB58),"")</f>
        <v/>
      </c>
      <c r="AC60" s="43" t="str">
        <f aca="false">IF(AC54&lt;&gt;"",SUM(AC54:AC58),"")</f>
        <v/>
      </c>
      <c r="AD60" s="43" t="str">
        <f aca="false">IF(AD54&lt;&gt;"",SUM(AD54:AD58),"")</f>
        <v/>
      </c>
      <c r="AE60" s="43" t="str">
        <f aca="false">IF(AE54&lt;&gt;"",SUM(AE54:AE58),"")</f>
        <v/>
      </c>
      <c r="AF60" s="43" t="str">
        <f aca="false">IF(AF54&lt;&gt;"",SUM(AF54:AF58),"")</f>
        <v/>
      </c>
      <c r="AG60" s="43" t="str">
        <f aca="false">IF(AG54&lt;&gt;"",SUM(AG54:AG58),"")</f>
        <v/>
      </c>
      <c r="AH60" s="43" t="str">
        <f aca="false">IF(AH54&lt;&gt;"",SUM(AH54:AH58),"")</f>
        <v/>
      </c>
      <c r="AI60" s="43" t="str">
        <f aca="false">IF(AI54&lt;&gt;"",SUM(AI54:AI58),"")</f>
        <v/>
      </c>
      <c r="AJ60" s="43" t="str">
        <f aca="false">IF(AJ54&lt;&gt;"",SUM(AJ54:AJ58),"")</f>
        <v/>
      </c>
      <c r="AK60" s="44" t="str">
        <f aca="false">IF(AK54&lt;&gt;"",SUM(AK54:AK58),"")</f>
        <v/>
      </c>
      <c r="AL60" s="33"/>
      <c r="AM60" s="34"/>
      <c r="AN60" s="34"/>
      <c r="AO60" s="34"/>
      <c r="AP60" s="34"/>
      <c r="AQ60" s="34"/>
      <c r="AR60" s="40"/>
    </row>
    <row r="61" s="37" customFormat="true" ht="13.8" hidden="false" customHeight="false" outlineLevel="0" collapsed="false">
      <c r="A61" s="31"/>
      <c r="B61" s="36" t="s">
        <v>17</v>
      </c>
      <c r="C61" s="37" t="s">
        <v>122</v>
      </c>
      <c r="D61" s="37" t="s">
        <v>123</v>
      </c>
      <c r="E61" s="43" t="str">
        <f aca="false">IF(E55&lt;&gt;"",SUM(E55:E58),"")</f>
        <v/>
      </c>
      <c r="F61" s="43" t="str">
        <f aca="false">IF(F55&lt;&gt;"",SUM(F55:F58),"")</f>
        <v/>
      </c>
      <c r="G61" s="43" t="str">
        <f aca="false">IF(G55&lt;&gt;"",SUM(G55:G58),"")</f>
        <v/>
      </c>
      <c r="H61" s="43" t="str">
        <f aca="false">IF(H55&lt;&gt;"",SUM(H55:H58),"")</f>
        <v/>
      </c>
      <c r="I61" s="43" t="str">
        <f aca="false">IF(I55&lt;&gt;"",SUM(I55:I58),"")</f>
        <v/>
      </c>
      <c r="J61" s="43" t="str">
        <f aca="false">IF(J55&lt;&gt;"",SUM(J55:J58),"")</f>
        <v/>
      </c>
      <c r="K61" s="43" t="str">
        <f aca="false">IF(K55&lt;&gt;"",SUM(K55:K58),"")</f>
        <v/>
      </c>
      <c r="L61" s="43" t="str">
        <f aca="false">IF(L55&lt;&gt;"",SUM(L55:L58),"")</f>
        <v/>
      </c>
      <c r="M61" s="43" t="str">
        <f aca="false">IF(M55&lt;&gt;"",SUM(M55:M58),"")</f>
        <v/>
      </c>
      <c r="N61" s="43" t="str">
        <f aca="false">IF(N55&lt;&gt;"",SUM(N55:N58),"")</f>
        <v/>
      </c>
      <c r="O61" s="43" t="str">
        <f aca="false">IF(O55&lt;&gt;"",SUM(O55:O58),"")</f>
        <v/>
      </c>
      <c r="P61" s="43" t="str">
        <f aca="false">IF(P55&lt;&gt;"",SUM(P55:P58),"")</f>
        <v/>
      </c>
      <c r="Q61" s="43" t="str">
        <f aca="false">IF(Q55&lt;&gt;"",SUM(Q55:Q58),"")</f>
        <v/>
      </c>
      <c r="R61" s="43" t="str">
        <f aca="false">IF(R55&lt;&gt;"",SUM(R55:R58),"")</f>
        <v/>
      </c>
      <c r="S61" s="43" t="str">
        <f aca="false">IF(S55&lt;&gt;"",SUM(S55:S58),"")</f>
        <v/>
      </c>
      <c r="T61" s="43" t="str">
        <f aca="false">IF(T55&lt;&gt;"",SUM(T55:T58),"")</f>
        <v/>
      </c>
      <c r="U61" s="43" t="str">
        <f aca="false">IF(U55&lt;&gt;"",SUM(U55:U58),"")</f>
        <v/>
      </c>
      <c r="V61" s="43" t="str">
        <f aca="false">IF(V55&lt;&gt;"",SUM(V55:V58),"")</f>
        <v/>
      </c>
      <c r="W61" s="43" t="str">
        <f aca="false">IF(W55&lt;&gt;"",SUM(W55:W58),"")</f>
        <v/>
      </c>
      <c r="X61" s="43" t="str">
        <f aca="false">IF(X55&lt;&gt;"",SUM(X55:X58),"")</f>
        <v/>
      </c>
      <c r="Y61" s="43" t="str">
        <f aca="false">IF(Y55&lt;&gt;"",SUM(Y55:Y58),"")</f>
        <v/>
      </c>
      <c r="Z61" s="43" t="str">
        <f aca="false">IF(Z55&lt;&gt;"",SUM(Z55:Z58),"")</f>
        <v/>
      </c>
      <c r="AA61" s="43" t="str">
        <f aca="false">IF(AA55&lt;&gt;"",SUM(AA55:AA58),"")</f>
        <v/>
      </c>
      <c r="AB61" s="43" t="str">
        <f aca="false">IF(AB55&lt;&gt;"",SUM(AB55:AB58),"")</f>
        <v/>
      </c>
      <c r="AC61" s="43" t="str">
        <f aca="false">IF(AC55&lt;&gt;"",SUM(AC55:AC58),"")</f>
        <v/>
      </c>
      <c r="AD61" s="43" t="str">
        <f aca="false">IF(AD55&lt;&gt;"",SUM(AD55:AD58),"")</f>
        <v/>
      </c>
      <c r="AE61" s="43" t="str">
        <f aca="false">IF(AE55&lt;&gt;"",SUM(AE55:AE58),"")</f>
        <v/>
      </c>
      <c r="AF61" s="43" t="str">
        <f aca="false">IF(AF55&lt;&gt;"",SUM(AF55:AF58),"")</f>
        <v/>
      </c>
      <c r="AG61" s="43" t="str">
        <f aca="false">IF(AG55&lt;&gt;"",SUM(AG55:AG58),"")</f>
        <v/>
      </c>
      <c r="AH61" s="43" t="str">
        <f aca="false">IF(AH55&lt;&gt;"",SUM(AH55:AH58),"")</f>
        <v/>
      </c>
      <c r="AI61" s="43" t="str">
        <f aca="false">IF(AI55&lt;&gt;"",SUM(AI55:AI58),"")</f>
        <v/>
      </c>
      <c r="AJ61" s="43" t="str">
        <f aca="false">IF(AJ55&lt;&gt;"",SUM(AJ55:AJ58),"")</f>
        <v/>
      </c>
      <c r="AK61" s="44" t="str">
        <f aca="false">IF(AK55&lt;&gt;"",SUM(AK55:AK58),"")</f>
        <v/>
      </c>
      <c r="AL61" s="33"/>
      <c r="AM61" s="34"/>
      <c r="AN61" s="34"/>
      <c r="AO61" s="34"/>
      <c r="AP61" s="34"/>
      <c r="AQ61" s="34"/>
      <c r="AR61" s="40"/>
    </row>
    <row r="62" s="37" customFormat="true" ht="13.8" hidden="false" customHeight="false" outlineLevel="0" collapsed="false">
      <c r="A62" s="31"/>
      <c r="B62" s="36" t="s">
        <v>17</v>
      </c>
      <c r="C62" s="37" t="s">
        <v>124</v>
      </c>
      <c r="D62" s="37" t="s">
        <v>125</v>
      </c>
      <c r="E62" s="43" t="str">
        <f aca="false">IF(E56&lt;&gt;"",SUM(E56:E58),"")</f>
        <v/>
      </c>
      <c r="F62" s="43" t="str">
        <f aca="false">IF(F56&lt;&gt;"",SUM(F56:F58),"")</f>
        <v/>
      </c>
      <c r="G62" s="43" t="str">
        <f aca="false">IF(G56&lt;&gt;"",SUM(G56:G58),"")</f>
        <v/>
      </c>
      <c r="H62" s="43" t="str">
        <f aca="false">IF(H56&lt;&gt;"",SUM(H56:H58),"")</f>
        <v/>
      </c>
      <c r="I62" s="43" t="str">
        <f aca="false">IF(I56&lt;&gt;"",SUM(I56:I58),"")</f>
        <v/>
      </c>
      <c r="J62" s="43" t="str">
        <f aca="false">IF(J56&lt;&gt;"",SUM(J56:J58),"")</f>
        <v/>
      </c>
      <c r="K62" s="43" t="str">
        <f aca="false">IF(K56&lt;&gt;"",SUM(K56:K58),"")</f>
        <v/>
      </c>
      <c r="L62" s="43" t="str">
        <f aca="false">IF(L56&lt;&gt;"",SUM(L56:L58),"")</f>
        <v/>
      </c>
      <c r="M62" s="43" t="str">
        <f aca="false">IF(M56&lt;&gt;"",SUM(M56:M58),"")</f>
        <v/>
      </c>
      <c r="N62" s="43" t="str">
        <f aca="false">IF(N56&lt;&gt;"",SUM(N56:N58),"")</f>
        <v/>
      </c>
      <c r="O62" s="43" t="str">
        <f aca="false">IF(O56&lt;&gt;"",SUM(O56:O58),"")</f>
        <v/>
      </c>
      <c r="P62" s="43" t="str">
        <f aca="false">IF(P56&lt;&gt;"",SUM(P56:P58),"")</f>
        <v/>
      </c>
      <c r="Q62" s="43" t="str">
        <f aca="false">IF(Q56&lt;&gt;"",SUM(Q56:Q58),"")</f>
        <v/>
      </c>
      <c r="R62" s="43" t="str">
        <f aca="false">IF(R56&lt;&gt;"",SUM(R56:R58),"")</f>
        <v/>
      </c>
      <c r="S62" s="43" t="str">
        <f aca="false">IF(S56&lt;&gt;"",SUM(S56:S58),"")</f>
        <v/>
      </c>
      <c r="T62" s="43" t="str">
        <f aca="false">IF(T56&lt;&gt;"",SUM(T56:T58),"")</f>
        <v/>
      </c>
      <c r="U62" s="43" t="str">
        <f aca="false">IF(U56&lt;&gt;"",SUM(U56:U58),"")</f>
        <v/>
      </c>
      <c r="V62" s="43" t="str">
        <f aca="false">IF(V56&lt;&gt;"",SUM(V56:V58),"")</f>
        <v/>
      </c>
      <c r="W62" s="43" t="str">
        <f aca="false">IF(W56&lt;&gt;"",SUM(W56:W58),"")</f>
        <v/>
      </c>
      <c r="X62" s="43" t="str">
        <f aca="false">IF(X56&lt;&gt;"",SUM(X56:X58),"")</f>
        <v/>
      </c>
      <c r="Y62" s="43" t="str">
        <f aca="false">IF(Y56&lt;&gt;"",SUM(Y56:Y58),"")</f>
        <v/>
      </c>
      <c r="Z62" s="43" t="str">
        <f aca="false">IF(Z56&lt;&gt;"",SUM(Z56:Z58),"")</f>
        <v/>
      </c>
      <c r="AA62" s="43" t="str">
        <f aca="false">IF(AA56&lt;&gt;"",SUM(AA56:AA58),"")</f>
        <v/>
      </c>
      <c r="AB62" s="43" t="str">
        <f aca="false">IF(AB56&lt;&gt;"",SUM(AB56:AB58),"")</f>
        <v/>
      </c>
      <c r="AC62" s="43" t="str">
        <f aca="false">IF(AC56&lt;&gt;"",SUM(AC56:AC58),"")</f>
        <v/>
      </c>
      <c r="AD62" s="43" t="str">
        <f aca="false">IF(AD56&lt;&gt;"",SUM(AD56:AD58),"")</f>
        <v/>
      </c>
      <c r="AE62" s="43" t="str">
        <f aca="false">IF(AE56&lt;&gt;"",SUM(AE56:AE58),"")</f>
        <v/>
      </c>
      <c r="AF62" s="43" t="str">
        <f aca="false">IF(AF56&lt;&gt;"",SUM(AF56:AF58),"")</f>
        <v/>
      </c>
      <c r="AG62" s="43" t="str">
        <f aca="false">IF(AG56&lt;&gt;"",SUM(AG56:AG58),"")</f>
        <v/>
      </c>
      <c r="AH62" s="43" t="str">
        <f aca="false">IF(AH56&lt;&gt;"",SUM(AH56:AH58),"")</f>
        <v/>
      </c>
      <c r="AI62" s="43" t="str">
        <f aca="false">IF(AI56&lt;&gt;"",SUM(AI56:AI58),"")</f>
        <v/>
      </c>
      <c r="AJ62" s="43" t="str">
        <f aca="false">IF(AJ56&lt;&gt;"",SUM(AJ56:AJ58),"")</f>
        <v/>
      </c>
      <c r="AK62" s="44" t="str">
        <f aca="false">IF(AK56&lt;&gt;"",SUM(AK56:AK58),"")</f>
        <v/>
      </c>
      <c r="AL62" s="33"/>
      <c r="AM62" s="34"/>
      <c r="AN62" s="34"/>
      <c r="AO62" s="34"/>
      <c r="AP62" s="34"/>
      <c r="AQ62" s="34"/>
      <c r="AR62" s="40"/>
    </row>
    <row r="63" s="37" customFormat="true" ht="13.8" hidden="false" customHeight="false" outlineLevel="0" collapsed="false">
      <c r="A63" s="31"/>
      <c r="B63" s="36" t="s">
        <v>17</v>
      </c>
      <c r="C63" s="37" t="s">
        <v>126</v>
      </c>
      <c r="D63" s="37" t="s">
        <v>127</v>
      </c>
      <c r="E63" s="43" t="str">
        <f aca="false">IF(E57&lt;&gt;"",SUM(E57:E58),"")</f>
        <v/>
      </c>
      <c r="F63" s="43" t="str">
        <f aca="false">IF(F57&lt;&gt;"",SUM(F57:F58),"")</f>
        <v/>
      </c>
      <c r="G63" s="43" t="str">
        <f aca="false">IF(G57&lt;&gt;"",SUM(G57:G58),"")</f>
        <v/>
      </c>
      <c r="H63" s="43" t="str">
        <f aca="false">IF(H57&lt;&gt;"",SUM(H57:H58),"")</f>
        <v/>
      </c>
      <c r="I63" s="43" t="str">
        <f aca="false">IF(I57&lt;&gt;"",SUM(I57:I58),"")</f>
        <v/>
      </c>
      <c r="J63" s="43" t="str">
        <f aca="false">IF(J57&lt;&gt;"",SUM(J57:J58),"")</f>
        <v/>
      </c>
      <c r="K63" s="43" t="str">
        <f aca="false">IF(K57&lt;&gt;"",SUM(K57:K58),"")</f>
        <v/>
      </c>
      <c r="L63" s="43" t="str">
        <f aca="false">IF(L57&lt;&gt;"",SUM(L57:L58),"")</f>
        <v/>
      </c>
      <c r="M63" s="43" t="str">
        <f aca="false">IF(M57&lt;&gt;"",SUM(M57:M58),"")</f>
        <v/>
      </c>
      <c r="N63" s="43" t="str">
        <f aca="false">IF(N57&lt;&gt;"",SUM(N57:N58),"")</f>
        <v/>
      </c>
      <c r="O63" s="43" t="str">
        <f aca="false">IF(O57&lt;&gt;"",SUM(O57:O58),"")</f>
        <v/>
      </c>
      <c r="P63" s="43" t="str">
        <f aca="false">IF(P57&lt;&gt;"",SUM(P57:P58),"")</f>
        <v/>
      </c>
      <c r="Q63" s="43" t="str">
        <f aca="false">IF(Q57&lt;&gt;"",SUM(Q57:Q58),"")</f>
        <v/>
      </c>
      <c r="R63" s="43" t="str">
        <f aca="false">IF(R57&lt;&gt;"",SUM(R57:R58),"")</f>
        <v/>
      </c>
      <c r="S63" s="43" t="str">
        <f aca="false">IF(S57&lt;&gt;"",SUM(S57:S58),"")</f>
        <v/>
      </c>
      <c r="T63" s="43" t="str">
        <f aca="false">IF(T57&lt;&gt;"",SUM(T57:T58),"")</f>
        <v/>
      </c>
      <c r="U63" s="43" t="str">
        <f aca="false">IF(U57&lt;&gt;"",SUM(U57:U58),"")</f>
        <v/>
      </c>
      <c r="V63" s="43" t="str">
        <f aca="false">IF(V57&lt;&gt;"",SUM(V57:V58),"")</f>
        <v/>
      </c>
      <c r="W63" s="43" t="str">
        <f aca="false">IF(W57&lt;&gt;"",SUM(W57:W58),"")</f>
        <v/>
      </c>
      <c r="X63" s="43" t="str">
        <f aca="false">IF(X57&lt;&gt;"",SUM(X57:X58),"")</f>
        <v/>
      </c>
      <c r="Y63" s="43" t="str">
        <f aca="false">IF(Y57&lt;&gt;"",SUM(Y57:Y58),"")</f>
        <v/>
      </c>
      <c r="Z63" s="43" t="str">
        <f aca="false">IF(Z57&lt;&gt;"",SUM(Z57:Z58),"")</f>
        <v/>
      </c>
      <c r="AA63" s="43" t="str">
        <f aca="false">IF(AA57&lt;&gt;"",SUM(AA57:AA58),"")</f>
        <v/>
      </c>
      <c r="AB63" s="43" t="str">
        <f aca="false">IF(AB57&lt;&gt;"",SUM(AB57:AB58),"")</f>
        <v/>
      </c>
      <c r="AC63" s="43" t="str">
        <f aca="false">IF(AC57&lt;&gt;"",SUM(AC57:AC58),"")</f>
        <v/>
      </c>
      <c r="AD63" s="43" t="str">
        <f aca="false">IF(AD57&lt;&gt;"",SUM(AD57:AD58),"")</f>
        <v/>
      </c>
      <c r="AE63" s="43" t="str">
        <f aca="false">IF(AE57&lt;&gt;"",SUM(AE57:AE58),"")</f>
        <v/>
      </c>
      <c r="AF63" s="43" t="str">
        <f aca="false">IF(AF57&lt;&gt;"",SUM(AF57:AF58),"")</f>
        <v/>
      </c>
      <c r="AG63" s="43" t="str">
        <f aca="false">IF(AG57&lt;&gt;"",SUM(AG57:AG58),"")</f>
        <v/>
      </c>
      <c r="AH63" s="43" t="str">
        <f aca="false">IF(AH57&lt;&gt;"",SUM(AH57:AH58),"")</f>
        <v/>
      </c>
      <c r="AI63" s="43" t="str">
        <f aca="false">IF(AI57&lt;&gt;"",SUM(AI57:AI58),"")</f>
        <v/>
      </c>
      <c r="AJ63" s="43" t="str">
        <f aca="false">IF(AJ57&lt;&gt;"",SUM(AJ57:AJ58),"")</f>
        <v/>
      </c>
      <c r="AK63" s="44" t="str">
        <f aca="false">IF(AK57&lt;&gt;"",SUM(AK57:AK58),"")</f>
        <v/>
      </c>
      <c r="AL63" s="33"/>
      <c r="AM63" s="34"/>
      <c r="AN63" s="34"/>
      <c r="AO63" s="34"/>
      <c r="AP63" s="34"/>
      <c r="AQ63" s="34"/>
      <c r="AR63" s="40"/>
    </row>
    <row r="64" s="37" customFormat="true" ht="13.8" hidden="false" customHeight="false" outlineLevel="0" collapsed="false">
      <c r="A64" s="31"/>
      <c r="B64" s="36" t="s">
        <v>17</v>
      </c>
      <c r="C64" s="37" t="s">
        <v>116</v>
      </c>
      <c r="D64" s="37" t="s">
        <v>128</v>
      </c>
      <c r="E64" s="43" t="str">
        <f aca="false">IF(E58&lt;&gt;"",E58,"")</f>
        <v/>
      </c>
      <c r="F64" s="43" t="str">
        <f aca="false">IF(F58&lt;&gt;"",F58,"")</f>
        <v/>
      </c>
      <c r="G64" s="43" t="str">
        <f aca="false">IF(G58&lt;&gt;"",G58,"")</f>
        <v/>
      </c>
      <c r="H64" s="43" t="str">
        <f aca="false">IF(H58&lt;&gt;"",H58,"")</f>
        <v/>
      </c>
      <c r="I64" s="43" t="str">
        <f aca="false">IF(I58&lt;&gt;"",I58,"")</f>
        <v/>
      </c>
      <c r="J64" s="43" t="str">
        <f aca="false">IF(J58&lt;&gt;"",J58,"")</f>
        <v/>
      </c>
      <c r="K64" s="43" t="str">
        <f aca="false">IF(K58&lt;&gt;"",K58,"")</f>
        <v/>
      </c>
      <c r="L64" s="43" t="str">
        <f aca="false">IF(L58&lt;&gt;"",L58,"")</f>
        <v/>
      </c>
      <c r="M64" s="43" t="str">
        <f aca="false">IF(M58&lt;&gt;"",M58,"")</f>
        <v/>
      </c>
      <c r="N64" s="43" t="str">
        <f aca="false">IF(N58&lt;&gt;"",N58,"")</f>
        <v/>
      </c>
      <c r="O64" s="43" t="str">
        <f aca="false">IF(O58&lt;&gt;"",O58,"")</f>
        <v/>
      </c>
      <c r="P64" s="43" t="str">
        <f aca="false">IF(P58&lt;&gt;"",P58,"")</f>
        <v/>
      </c>
      <c r="Q64" s="43" t="str">
        <f aca="false">IF(Q58&lt;&gt;"",Q58,"")</f>
        <v/>
      </c>
      <c r="R64" s="43" t="str">
        <f aca="false">IF(R58&lt;&gt;"",R58,"")</f>
        <v/>
      </c>
      <c r="S64" s="43" t="str">
        <f aca="false">IF(S58&lt;&gt;"",S58,"")</f>
        <v/>
      </c>
      <c r="T64" s="43" t="str">
        <f aca="false">IF(T58&lt;&gt;"",T58,"")</f>
        <v/>
      </c>
      <c r="U64" s="43" t="str">
        <f aca="false">IF(U58&lt;&gt;"",U58,"")</f>
        <v/>
      </c>
      <c r="V64" s="43" t="str">
        <f aca="false">IF(V58&lt;&gt;"",V58,"")</f>
        <v/>
      </c>
      <c r="W64" s="43" t="str">
        <f aca="false">IF(W58&lt;&gt;"",W58,"")</f>
        <v/>
      </c>
      <c r="X64" s="43" t="str">
        <f aca="false">IF(X58&lt;&gt;"",X58,"")</f>
        <v/>
      </c>
      <c r="Y64" s="43" t="str">
        <f aca="false">IF(Y58&lt;&gt;"",Y58,"")</f>
        <v/>
      </c>
      <c r="Z64" s="43" t="str">
        <f aca="false">IF(Z58&lt;&gt;"",Z58,"")</f>
        <v/>
      </c>
      <c r="AA64" s="43" t="str">
        <f aca="false">IF(AA58&lt;&gt;"",AA58,"")</f>
        <v/>
      </c>
      <c r="AB64" s="43" t="str">
        <f aca="false">IF(AB58&lt;&gt;"",AB58,"")</f>
        <v/>
      </c>
      <c r="AC64" s="43" t="str">
        <f aca="false">IF(AC58&lt;&gt;"",AC58,"")</f>
        <v/>
      </c>
      <c r="AD64" s="43" t="str">
        <f aca="false">IF(AD58&lt;&gt;"",AD58,"")</f>
        <v/>
      </c>
      <c r="AE64" s="43" t="str">
        <f aca="false">IF(AE58&lt;&gt;"",AE58,"")</f>
        <v/>
      </c>
      <c r="AF64" s="43" t="str">
        <f aca="false">IF(AF58&lt;&gt;"",AF58,"")</f>
        <v/>
      </c>
      <c r="AG64" s="43" t="str">
        <f aca="false">IF(AG58&lt;&gt;"",AG58,"")</f>
        <v/>
      </c>
      <c r="AH64" s="43" t="str">
        <f aca="false">IF(AH58&lt;&gt;"",AH58,"")</f>
        <v/>
      </c>
      <c r="AI64" s="43" t="str">
        <f aca="false">IF(AI58&lt;&gt;"",AI58,"")</f>
        <v/>
      </c>
      <c r="AJ64" s="43" t="str">
        <f aca="false">IF(AJ58&lt;&gt;"",AJ58,"")</f>
        <v/>
      </c>
      <c r="AK64" s="44" t="str">
        <f aca="false">IF(AK58&lt;&gt;"",AK58,"")</f>
        <v/>
      </c>
      <c r="AL64" s="33"/>
      <c r="AM64" s="34"/>
      <c r="AN64" s="34"/>
      <c r="AO64" s="34"/>
      <c r="AP64" s="34"/>
      <c r="AQ64" s="34"/>
      <c r="AR64" s="40"/>
    </row>
    <row r="65" s="37" customFormat="true" ht="13.8" hidden="false" customHeight="false" outlineLevel="0" collapsed="false">
      <c r="A65" s="31"/>
      <c r="B65" s="36"/>
      <c r="C65" s="37" t="s">
        <v>106</v>
      </c>
      <c r="D65" s="37" t="s">
        <v>129</v>
      </c>
      <c r="E65" s="43" t="str">
        <f aca="false">IF(E53&lt;&gt;"",IF(E53&gt;20480000,15,IF(E53&gt;10240000,14,IF(E53&gt;5120000,13,IF(E53&gt;2560000,12,IF(E53&gt;1280000,11,IF(E53&gt;640000,10,IF(E53&gt;320000,9,IF(E53&gt;160000,8,IF(E53&gt;80000,7,IF(E53&gt;40000,6,IF(E53&gt;20000,5,IF(E53&gt;10000,4,IF(E53&gt;5000,3,IF(E53&gt;2500,2,IF(E53&gt;1250,1,IF(E53&lt;1250,0)))))))))))))))),"")</f>
        <v/>
      </c>
      <c r="F65" s="43" t="str">
        <f aca="false">IF(F53&lt;&gt;"",IF(F53&gt;20480000,15,IF(F53&gt;10240000,14,IF(F53&gt;5120000,13,IF(F53&gt;2560000,12,IF(F53&gt;1280000,11,IF(F53&gt;640000,10,IF(F53&gt;320000,9,IF(F53&gt;160000,8,IF(F53&gt;80000,7,IF(F53&gt;40000,6,IF(F53&gt;20000,5,IF(F53&gt;10000,4,IF(F53&gt;5000,3,IF(F53&gt;2500,2,IF(F53&gt;1250,1,IF(F53&lt;1250,0)))))))))))))))),"")</f>
        <v/>
      </c>
      <c r="G65" s="43" t="str">
        <f aca="false">IF(G53&lt;&gt;"",IF(G53&gt;20480000,15,IF(G53&gt;10240000,14,IF(G53&gt;5120000,13,IF(G53&gt;2560000,12,IF(G53&gt;1280000,11,IF(G53&gt;640000,10,IF(G53&gt;320000,9,IF(G53&gt;160000,8,IF(G53&gt;80000,7,IF(G53&gt;40000,6,IF(G53&gt;20000,5,IF(G53&gt;10000,4,IF(G53&gt;5000,3,IF(G53&gt;2500,2,IF(G53&gt;1250,1,IF(G53&lt;1250,0)))))))))))))))),"")</f>
        <v/>
      </c>
      <c r="H65" s="43" t="str">
        <f aca="false">IF(H53&lt;&gt;"",IF(H53&gt;20480000,15,IF(H53&gt;10240000,14,IF(H53&gt;5120000,13,IF(H53&gt;2560000,12,IF(H53&gt;1280000,11,IF(H53&gt;640000,10,IF(H53&gt;320000,9,IF(H53&gt;160000,8,IF(H53&gt;80000,7,IF(H53&gt;40000,6,IF(H53&gt;20000,5,IF(H53&gt;10000,4,IF(H53&gt;5000,3,IF(H53&gt;2500,2,IF(H53&gt;1250,1,IF(H53&lt;1250,0)))))))))))))))),"")</f>
        <v/>
      </c>
      <c r="I65" s="43" t="str">
        <f aca="false">IF(I53&lt;&gt;"",IF(I53&gt;20480000,15,IF(I53&gt;10240000,14,IF(I53&gt;5120000,13,IF(I53&gt;2560000,12,IF(I53&gt;1280000,11,IF(I53&gt;640000,10,IF(I53&gt;320000,9,IF(I53&gt;160000,8,IF(I53&gt;80000,7,IF(I53&gt;40000,6,IF(I53&gt;20000,5,IF(I53&gt;10000,4,IF(I53&gt;5000,3,IF(I53&gt;2500,2,IF(I53&gt;1250,1,IF(I53&lt;1250,0)))))))))))))))),"")</f>
        <v/>
      </c>
      <c r="J65" s="43" t="str">
        <f aca="false">IF(J53&lt;&gt;"",IF(J53&gt;20480000,15,IF(J53&gt;10240000,14,IF(J53&gt;5120000,13,IF(J53&gt;2560000,12,IF(J53&gt;1280000,11,IF(J53&gt;640000,10,IF(J53&gt;320000,9,IF(J53&gt;160000,8,IF(J53&gt;80000,7,IF(J53&gt;40000,6,IF(J53&gt;20000,5,IF(J53&gt;10000,4,IF(J53&gt;5000,3,IF(J53&gt;2500,2,IF(J53&gt;1250,1,IF(J53&lt;1250,0)))))))))))))))),"")</f>
        <v/>
      </c>
      <c r="K65" s="43" t="str">
        <f aca="false">IF(K53&lt;&gt;"",IF(K53&gt;20480000,15,IF(K53&gt;10240000,14,IF(K53&gt;5120000,13,IF(K53&gt;2560000,12,IF(K53&gt;1280000,11,IF(K53&gt;640000,10,IF(K53&gt;320000,9,IF(K53&gt;160000,8,IF(K53&gt;80000,7,IF(K53&gt;40000,6,IF(K53&gt;20000,5,IF(K53&gt;10000,4,IF(K53&gt;5000,3,IF(K53&gt;2500,2,IF(K53&gt;1250,1,IF(K53&lt;1250,0)))))))))))))))),"")</f>
        <v/>
      </c>
      <c r="L65" s="43" t="str">
        <f aca="false">IF(L53&lt;&gt;"",IF(L53&gt;20480000,15,IF(L53&gt;10240000,14,IF(L53&gt;5120000,13,IF(L53&gt;2560000,12,IF(L53&gt;1280000,11,IF(L53&gt;640000,10,IF(L53&gt;320000,9,IF(L53&gt;160000,8,IF(L53&gt;80000,7,IF(L53&gt;40000,6,IF(L53&gt;20000,5,IF(L53&gt;10000,4,IF(L53&gt;5000,3,IF(L53&gt;2500,2,IF(L53&gt;1250,1,IF(L53&lt;1250,0)))))))))))))))),"")</f>
        <v/>
      </c>
      <c r="M65" s="43" t="str">
        <f aca="false">IF(M53&lt;&gt;"",IF(M53&gt;20480000,15,IF(M53&gt;10240000,14,IF(M53&gt;5120000,13,IF(M53&gt;2560000,12,IF(M53&gt;1280000,11,IF(M53&gt;640000,10,IF(M53&gt;320000,9,IF(M53&gt;160000,8,IF(M53&gt;80000,7,IF(M53&gt;40000,6,IF(M53&gt;20000,5,IF(M53&gt;10000,4,IF(M53&gt;5000,3,IF(M53&gt;2500,2,IF(M53&gt;1250,1,IF(M53&lt;1250,0)))))))))))))))),"")</f>
        <v/>
      </c>
      <c r="N65" s="43" t="str">
        <f aca="false">IF(N53&lt;&gt;"",IF(N53&gt;20480000,15,IF(N53&gt;10240000,14,IF(N53&gt;5120000,13,IF(N53&gt;2560000,12,IF(N53&gt;1280000,11,IF(N53&gt;640000,10,IF(N53&gt;320000,9,IF(N53&gt;160000,8,IF(N53&gt;80000,7,IF(N53&gt;40000,6,IF(N53&gt;20000,5,IF(N53&gt;10000,4,IF(N53&gt;5000,3,IF(N53&gt;2500,2,IF(N53&gt;1250,1,IF(N53&lt;1250,0)))))))))))))))),"")</f>
        <v/>
      </c>
      <c r="O65" s="43" t="str">
        <f aca="false">IF(O53&lt;&gt;"",IF(O53&gt;20480000,15,IF(O53&gt;10240000,14,IF(O53&gt;5120000,13,IF(O53&gt;2560000,12,IF(O53&gt;1280000,11,IF(O53&gt;640000,10,IF(O53&gt;320000,9,IF(O53&gt;160000,8,IF(O53&gt;80000,7,IF(O53&gt;40000,6,IF(O53&gt;20000,5,IF(O53&gt;10000,4,IF(O53&gt;5000,3,IF(O53&gt;2500,2,IF(O53&gt;1250,1,IF(O53&lt;1250,0)))))))))))))))),"")</f>
        <v/>
      </c>
      <c r="P65" s="43" t="str">
        <f aca="false">IF(P53&lt;&gt;"",IF(P53&gt;20480000,15,IF(P53&gt;10240000,14,IF(P53&gt;5120000,13,IF(P53&gt;2560000,12,IF(P53&gt;1280000,11,IF(P53&gt;640000,10,IF(P53&gt;320000,9,IF(P53&gt;160000,8,IF(P53&gt;80000,7,IF(P53&gt;40000,6,IF(P53&gt;20000,5,IF(P53&gt;10000,4,IF(P53&gt;5000,3,IF(P53&gt;2500,2,IF(P53&gt;1250,1,IF(P53&lt;1250,0)))))))))))))))),"")</f>
        <v/>
      </c>
      <c r="Q65" s="43" t="str">
        <f aca="false">IF(Q53&lt;&gt;"",IF(Q53&gt;20480000,15,IF(Q53&gt;10240000,14,IF(Q53&gt;5120000,13,IF(Q53&gt;2560000,12,IF(Q53&gt;1280000,11,IF(Q53&gt;640000,10,IF(Q53&gt;320000,9,IF(Q53&gt;160000,8,IF(Q53&gt;80000,7,IF(Q53&gt;40000,6,IF(Q53&gt;20000,5,IF(Q53&gt;10000,4,IF(Q53&gt;5000,3,IF(Q53&gt;2500,2,IF(Q53&gt;1250,1,IF(Q53&lt;1250,0)))))))))))))))),"")</f>
        <v/>
      </c>
      <c r="R65" s="43" t="str">
        <f aca="false">IF(R53&lt;&gt;"",IF(R53&gt;20480000,15,IF(R53&gt;10240000,14,IF(R53&gt;5120000,13,IF(R53&gt;2560000,12,IF(R53&gt;1280000,11,IF(R53&gt;640000,10,IF(R53&gt;320000,9,IF(R53&gt;160000,8,IF(R53&gt;80000,7,IF(R53&gt;40000,6,IF(R53&gt;20000,5,IF(R53&gt;10000,4,IF(R53&gt;5000,3,IF(R53&gt;2500,2,IF(R53&gt;1250,1,IF(R53&lt;1250,0)))))))))))))))),"")</f>
        <v/>
      </c>
      <c r="S65" s="43" t="str">
        <f aca="false">IF(S53&lt;&gt;"",IF(S53&gt;20480000,15,IF(S53&gt;10240000,14,IF(S53&gt;5120000,13,IF(S53&gt;2560000,12,IF(S53&gt;1280000,11,IF(S53&gt;640000,10,IF(S53&gt;320000,9,IF(S53&gt;160000,8,IF(S53&gt;80000,7,IF(S53&gt;40000,6,IF(S53&gt;20000,5,IF(S53&gt;10000,4,IF(S53&gt;5000,3,IF(S53&gt;2500,2,IF(S53&gt;1250,1,IF(S53&lt;1250,0)))))))))))))))),"")</f>
        <v/>
      </c>
      <c r="T65" s="43" t="str">
        <f aca="false">IF(T53&lt;&gt;"",IF(T53&gt;20480000,15,IF(T53&gt;10240000,14,IF(T53&gt;5120000,13,IF(T53&gt;2560000,12,IF(T53&gt;1280000,11,IF(T53&gt;640000,10,IF(T53&gt;320000,9,IF(T53&gt;160000,8,IF(T53&gt;80000,7,IF(T53&gt;40000,6,IF(T53&gt;20000,5,IF(T53&gt;10000,4,IF(T53&gt;5000,3,IF(T53&gt;2500,2,IF(T53&gt;1250,1,IF(T53&lt;1250,0)))))))))))))))),"")</f>
        <v/>
      </c>
      <c r="U65" s="43" t="str">
        <f aca="false">IF(U53&lt;&gt;"",IF(U53&gt;20480000,15,IF(U53&gt;10240000,14,IF(U53&gt;5120000,13,IF(U53&gt;2560000,12,IF(U53&gt;1280000,11,IF(U53&gt;640000,10,IF(U53&gt;320000,9,IF(U53&gt;160000,8,IF(U53&gt;80000,7,IF(U53&gt;40000,6,IF(U53&gt;20000,5,IF(U53&gt;10000,4,IF(U53&gt;5000,3,IF(U53&gt;2500,2,IF(U53&gt;1250,1,IF(U53&lt;1250,0)))))))))))))))),"")</f>
        <v/>
      </c>
      <c r="V65" s="43" t="str">
        <f aca="false">IF(V53&lt;&gt;"",IF(V53&gt;20480000,15,IF(V53&gt;10240000,14,IF(V53&gt;5120000,13,IF(V53&gt;2560000,12,IF(V53&gt;1280000,11,IF(V53&gt;640000,10,IF(V53&gt;320000,9,IF(V53&gt;160000,8,IF(V53&gt;80000,7,IF(V53&gt;40000,6,IF(V53&gt;20000,5,IF(V53&gt;10000,4,IF(V53&gt;5000,3,IF(V53&gt;2500,2,IF(V53&gt;1250,1,IF(V53&lt;1250,0)))))))))))))))),"")</f>
        <v/>
      </c>
      <c r="W65" s="43" t="str">
        <f aca="false">IF(W53&lt;&gt;"",IF(W53&gt;20480000,15,IF(W53&gt;10240000,14,IF(W53&gt;5120000,13,IF(W53&gt;2560000,12,IF(W53&gt;1280000,11,IF(W53&gt;640000,10,IF(W53&gt;320000,9,IF(W53&gt;160000,8,IF(W53&gt;80000,7,IF(W53&gt;40000,6,IF(W53&gt;20000,5,IF(W53&gt;10000,4,IF(W53&gt;5000,3,IF(W53&gt;2500,2,IF(W53&gt;1250,1,IF(W53&lt;1250,0)))))))))))))))),"")</f>
        <v/>
      </c>
      <c r="X65" s="43" t="str">
        <f aca="false">IF(X53&lt;&gt;"",IF(X53&gt;20480000,15,IF(X53&gt;10240000,14,IF(X53&gt;5120000,13,IF(X53&gt;2560000,12,IF(X53&gt;1280000,11,IF(X53&gt;640000,10,IF(X53&gt;320000,9,IF(X53&gt;160000,8,IF(X53&gt;80000,7,IF(X53&gt;40000,6,IF(X53&gt;20000,5,IF(X53&gt;10000,4,IF(X53&gt;5000,3,IF(X53&gt;2500,2,IF(X53&gt;1250,1,IF(X53&lt;1250,0)))))))))))))))),"")</f>
        <v/>
      </c>
      <c r="Y65" s="43" t="str">
        <f aca="false">IF(Y53&lt;&gt;"",IF(Y53&gt;20480000,15,IF(Y53&gt;10240000,14,IF(Y53&gt;5120000,13,IF(Y53&gt;2560000,12,IF(Y53&gt;1280000,11,IF(Y53&gt;640000,10,IF(Y53&gt;320000,9,IF(Y53&gt;160000,8,IF(Y53&gt;80000,7,IF(Y53&gt;40000,6,IF(Y53&gt;20000,5,IF(Y53&gt;10000,4,IF(Y53&gt;5000,3,IF(Y53&gt;2500,2,IF(Y53&gt;1250,1,IF(Y53&lt;1250,0)))))))))))))))),"")</f>
        <v/>
      </c>
      <c r="Z65" s="43" t="str">
        <f aca="false">IF(Z53&lt;&gt;"",IF(Z53&gt;20480000,15,IF(Z53&gt;10240000,14,IF(Z53&gt;5120000,13,IF(Z53&gt;2560000,12,IF(Z53&gt;1280000,11,IF(Z53&gt;640000,10,IF(Z53&gt;320000,9,IF(Z53&gt;160000,8,IF(Z53&gt;80000,7,IF(Z53&gt;40000,6,IF(Z53&gt;20000,5,IF(Z53&gt;10000,4,IF(Z53&gt;5000,3,IF(Z53&gt;2500,2,IF(Z53&gt;1250,1,IF(Z53&lt;1250,0)))))))))))))))),"")</f>
        <v/>
      </c>
      <c r="AA65" s="43" t="str">
        <f aca="false">IF(AA53&lt;&gt;"",IF(AA53&gt;20480000,15,IF(AA53&gt;10240000,14,IF(AA53&gt;5120000,13,IF(AA53&gt;2560000,12,IF(AA53&gt;1280000,11,IF(AA53&gt;640000,10,IF(AA53&gt;320000,9,IF(AA53&gt;160000,8,IF(AA53&gt;80000,7,IF(AA53&gt;40000,6,IF(AA53&gt;20000,5,IF(AA53&gt;10000,4,IF(AA53&gt;5000,3,IF(AA53&gt;2500,2,IF(AA53&gt;1250,1,IF(AA53&lt;1250,0)))))))))))))))),"")</f>
        <v/>
      </c>
      <c r="AB65" s="43" t="str">
        <f aca="false">IF(AB53&lt;&gt;"",IF(AB53&gt;20480000,15,IF(AB53&gt;10240000,14,IF(AB53&gt;5120000,13,IF(AB53&gt;2560000,12,IF(AB53&gt;1280000,11,IF(AB53&gt;640000,10,IF(AB53&gt;320000,9,IF(AB53&gt;160000,8,IF(AB53&gt;80000,7,IF(AB53&gt;40000,6,IF(AB53&gt;20000,5,IF(AB53&gt;10000,4,IF(AB53&gt;5000,3,IF(AB53&gt;2500,2,IF(AB53&gt;1250,1,IF(AB53&lt;1250,0)))))))))))))))),"")</f>
        <v/>
      </c>
      <c r="AC65" s="43" t="str">
        <f aca="false">IF(AC53&lt;&gt;"",IF(AC53&gt;20480000,15,IF(AC53&gt;10240000,14,IF(AC53&gt;5120000,13,IF(AC53&gt;2560000,12,IF(AC53&gt;1280000,11,IF(AC53&gt;640000,10,IF(AC53&gt;320000,9,IF(AC53&gt;160000,8,IF(AC53&gt;80000,7,IF(AC53&gt;40000,6,IF(AC53&gt;20000,5,IF(AC53&gt;10000,4,IF(AC53&gt;5000,3,IF(AC53&gt;2500,2,IF(AC53&gt;1250,1,IF(AC53&lt;1250,0)))))))))))))))),"")</f>
        <v/>
      </c>
      <c r="AD65" s="43" t="str">
        <f aca="false">IF(AD53&lt;&gt;"",IF(AD53&gt;20480000,15,IF(AD53&gt;10240000,14,IF(AD53&gt;5120000,13,IF(AD53&gt;2560000,12,IF(AD53&gt;1280000,11,IF(AD53&gt;640000,10,IF(AD53&gt;320000,9,IF(AD53&gt;160000,8,IF(AD53&gt;80000,7,IF(AD53&gt;40000,6,IF(AD53&gt;20000,5,IF(AD53&gt;10000,4,IF(AD53&gt;5000,3,IF(AD53&gt;2500,2,IF(AD53&gt;1250,1,IF(AD53&lt;1250,0)))))))))))))))),"")</f>
        <v/>
      </c>
      <c r="AE65" s="43" t="str">
        <f aca="false">IF(AE53&lt;&gt;"",IF(AE53&gt;20480000,15,IF(AE53&gt;10240000,14,IF(AE53&gt;5120000,13,IF(AE53&gt;2560000,12,IF(AE53&gt;1280000,11,IF(AE53&gt;640000,10,IF(AE53&gt;320000,9,IF(AE53&gt;160000,8,IF(AE53&gt;80000,7,IF(AE53&gt;40000,6,IF(AE53&gt;20000,5,IF(AE53&gt;10000,4,IF(AE53&gt;5000,3,IF(AE53&gt;2500,2,IF(AE53&gt;1250,1,IF(AE53&lt;1250,0)))))))))))))))),"")</f>
        <v/>
      </c>
      <c r="AF65" s="43" t="str">
        <f aca="false">IF(AF53&lt;&gt;"",IF(AF53&gt;20480000,15,IF(AF53&gt;10240000,14,IF(AF53&gt;5120000,13,IF(AF53&gt;2560000,12,IF(AF53&gt;1280000,11,IF(AF53&gt;640000,10,IF(AF53&gt;320000,9,IF(AF53&gt;160000,8,IF(AF53&gt;80000,7,IF(AF53&gt;40000,6,IF(AF53&gt;20000,5,IF(AF53&gt;10000,4,IF(AF53&gt;5000,3,IF(AF53&gt;2500,2,IF(AF53&gt;1250,1,IF(AF53&lt;1250,0)))))))))))))))),"")</f>
        <v/>
      </c>
      <c r="AG65" s="43" t="str">
        <f aca="false">IF(AG53&lt;&gt;"",IF(AG53&gt;20480000,15,IF(AG53&gt;10240000,14,IF(AG53&gt;5120000,13,IF(AG53&gt;2560000,12,IF(AG53&gt;1280000,11,IF(AG53&gt;640000,10,IF(AG53&gt;320000,9,IF(AG53&gt;160000,8,IF(AG53&gt;80000,7,IF(AG53&gt;40000,6,IF(AG53&gt;20000,5,IF(AG53&gt;10000,4,IF(AG53&gt;5000,3,IF(AG53&gt;2500,2,IF(AG53&gt;1250,1,IF(AG53&lt;1250,0)))))))))))))))),"")</f>
        <v/>
      </c>
      <c r="AH65" s="43" t="str">
        <f aca="false">IF(AH53&lt;&gt;"",IF(AH53&gt;20480000,15,IF(AH53&gt;10240000,14,IF(AH53&gt;5120000,13,IF(AH53&gt;2560000,12,IF(AH53&gt;1280000,11,IF(AH53&gt;640000,10,IF(AH53&gt;320000,9,IF(AH53&gt;160000,8,IF(AH53&gt;80000,7,IF(AH53&gt;40000,6,IF(AH53&gt;20000,5,IF(AH53&gt;10000,4,IF(AH53&gt;5000,3,IF(AH53&gt;2500,2,IF(AH53&gt;1250,1,IF(AH53&lt;1250,0)))))))))))))))),"")</f>
        <v/>
      </c>
      <c r="AI65" s="43" t="str">
        <f aca="false">IF(AI53&lt;&gt;"",IF(AI53&gt;20480000,15,IF(AI53&gt;10240000,14,IF(AI53&gt;5120000,13,IF(AI53&gt;2560000,12,IF(AI53&gt;1280000,11,IF(AI53&gt;640000,10,IF(AI53&gt;320000,9,IF(AI53&gt;160000,8,IF(AI53&gt;80000,7,IF(AI53&gt;40000,6,IF(AI53&gt;20000,5,IF(AI53&gt;10000,4,IF(AI53&gt;5000,3,IF(AI53&gt;2500,2,IF(AI53&gt;1250,1,IF(AI53&lt;1250,0)))))))))))))))),"")</f>
        <v/>
      </c>
      <c r="AJ65" s="43" t="str">
        <f aca="false">IF(AJ53&lt;&gt;"",IF(AJ53&gt;20480000,15,IF(AJ53&gt;10240000,14,IF(AJ53&gt;5120000,13,IF(AJ53&gt;2560000,12,IF(AJ53&gt;1280000,11,IF(AJ53&gt;640000,10,IF(AJ53&gt;320000,9,IF(AJ53&gt;160000,8,IF(AJ53&gt;80000,7,IF(AJ53&gt;40000,6,IF(AJ53&gt;20000,5,IF(AJ53&gt;10000,4,IF(AJ53&gt;5000,3,IF(AJ53&gt;2500,2,IF(AJ53&gt;1250,1,IF(AJ53&lt;1250,0)))))))))))))))),"")</f>
        <v/>
      </c>
      <c r="AK65" s="44" t="str">
        <f aca="false">IF(AK53&lt;&gt;"",IF(AK53&gt;20480000,15,IF(AK53&gt;10240000,14,IF(AK53&gt;5120000,13,IF(AK53&gt;2560000,12,IF(AK53&gt;1280000,11,IF(AK53&gt;640000,10,IF(AK53&gt;320000,9,IF(AK53&gt;160000,8,IF(AK53&gt;80000,7,IF(AK53&gt;40000,6,IF(AK53&gt;20000,5,IF(AK53&gt;10000,4,IF(AK53&gt;5000,3,IF(AK53&gt;2500,2,IF(AK53&gt;1250,1,IF(AK53&lt;1250,0)))))))))))))))),"")</f>
        <v/>
      </c>
      <c r="AL65" s="33"/>
      <c r="AM65" s="34"/>
      <c r="AN65" s="34"/>
      <c r="AO65" s="34"/>
      <c r="AP65" s="34"/>
      <c r="AQ65" s="34"/>
      <c r="AR65" s="40"/>
    </row>
    <row r="66" s="37" customFormat="true" ht="13.8" hidden="false" customHeight="false" outlineLevel="0" collapsed="false">
      <c r="A66" s="31"/>
      <c r="B66" s="36"/>
      <c r="C66" s="37" t="s">
        <v>108</v>
      </c>
      <c r="D66" s="37" t="s">
        <v>130</v>
      </c>
      <c r="E66" s="43" t="str">
        <f aca="false">IF(E54&lt;&gt;"",IF(E54&gt;4096000,15,IF(E54&gt;2048000,14,IF(E54&gt;1024000,13,IF(E54&gt;512000,12,IF(E54&gt;256000,11,IF(E54&gt;128000,10,IF(E54&gt;64000,9,IF(E54&gt;32000,8,IF(E54&gt;16000,7,IF(E54&gt;8000,6,IF(E54&gt;4000,5,IF(E54&gt;2000,4,IF(E54&gt;1000,3,IF(E54&gt;500,2,IF(E54&gt;250,1,IF(E54&lt;250,0)))))))))))))))),"")</f>
        <v/>
      </c>
      <c r="F66" s="43" t="str">
        <f aca="false">IF(F54&lt;&gt;"",IF(F54&gt;4096000,15,IF(F54&gt;2048000,14,IF(F54&gt;1024000,13,IF(F54&gt;512000,12,IF(F54&gt;256000,11,IF(F54&gt;128000,10,IF(F54&gt;64000,9,IF(F54&gt;32000,8,IF(F54&gt;16000,7,IF(F54&gt;8000,6,IF(F54&gt;4000,5,IF(F54&gt;2000,4,IF(F54&gt;1000,3,IF(F54&gt;500,2,IF(F54&gt;250,1,IF(F54&lt;250,0)))))))))))))))),"")</f>
        <v/>
      </c>
      <c r="G66" s="43" t="str">
        <f aca="false">IF(G54&lt;&gt;"",IF(G54&gt;4096000,15,IF(G54&gt;2048000,14,IF(G54&gt;1024000,13,IF(G54&gt;512000,12,IF(G54&gt;256000,11,IF(G54&gt;128000,10,IF(G54&gt;64000,9,IF(G54&gt;32000,8,IF(G54&gt;16000,7,IF(G54&gt;8000,6,IF(G54&gt;4000,5,IF(G54&gt;2000,4,IF(G54&gt;1000,3,IF(G54&gt;500,2,IF(G54&gt;250,1,IF(G54&lt;250,0)))))))))))))))),"")</f>
        <v/>
      </c>
      <c r="H66" s="43" t="str">
        <f aca="false">IF(H54&lt;&gt;"",IF(H54&gt;4096000,15,IF(H54&gt;2048000,14,IF(H54&gt;1024000,13,IF(H54&gt;512000,12,IF(H54&gt;256000,11,IF(H54&gt;128000,10,IF(H54&gt;64000,9,IF(H54&gt;32000,8,IF(H54&gt;16000,7,IF(H54&gt;8000,6,IF(H54&gt;4000,5,IF(H54&gt;2000,4,IF(H54&gt;1000,3,IF(H54&gt;500,2,IF(H54&gt;250,1,IF(H54&lt;250,0)))))))))))))))),"")</f>
        <v/>
      </c>
      <c r="I66" s="43" t="str">
        <f aca="false">IF(I54&lt;&gt;"",IF(I54&gt;4096000,15,IF(I54&gt;2048000,14,IF(I54&gt;1024000,13,IF(I54&gt;512000,12,IF(I54&gt;256000,11,IF(I54&gt;128000,10,IF(I54&gt;64000,9,IF(I54&gt;32000,8,IF(I54&gt;16000,7,IF(I54&gt;8000,6,IF(I54&gt;4000,5,IF(I54&gt;2000,4,IF(I54&gt;1000,3,IF(I54&gt;500,2,IF(I54&gt;250,1,IF(I54&lt;250,0)))))))))))))))),"")</f>
        <v/>
      </c>
      <c r="J66" s="43" t="str">
        <f aca="false">IF(J54&lt;&gt;"",IF(J54&gt;4096000,15,IF(J54&gt;2048000,14,IF(J54&gt;1024000,13,IF(J54&gt;512000,12,IF(J54&gt;256000,11,IF(J54&gt;128000,10,IF(J54&gt;64000,9,IF(J54&gt;32000,8,IF(J54&gt;16000,7,IF(J54&gt;8000,6,IF(J54&gt;4000,5,IF(J54&gt;2000,4,IF(J54&gt;1000,3,IF(J54&gt;500,2,IF(J54&gt;250,1,IF(J54&lt;250,0)))))))))))))))),"")</f>
        <v/>
      </c>
      <c r="K66" s="43" t="str">
        <f aca="false">IF(K54&lt;&gt;"",IF(K54&gt;4096000,15,IF(K54&gt;2048000,14,IF(K54&gt;1024000,13,IF(K54&gt;512000,12,IF(K54&gt;256000,11,IF(K54&gt;128000,10,IF(K54&gt;64000,9,IF(K54&gt;32000,8,IF(K54&gt;16000,7,IF(K54&gt;8000,6,IF(K54&gt;4000,5,IF(K54&gt;2000,4,IF(K54&gt;1000,3,IF(K54&gt;500,2,IF(K54&gt;250,1,IF(K54&lt;250,0)))))))))))))))),"")</f>
        <v/>
      </c>
      <c r="L66" s="43" t="str">
        <f aca="false">IF(L54&lt;&gt;"",IF(L54&gt;4096000,15,IF(L54&gt;2048000,14,IF(L54&gt;1024000,13,IF(L54&gt;512000,12,IF(L54&gt;256000,11,IF(L54&gt;128000,10,IF(L54&gt;64000,9,IF(L54&gt;32000,8,IF(L54&gt;16000,7,IF(L54&gt;8000,6,IF(L54&gt;4000,5,IF(L54&gt;2000,4,IF(L54&gt;1000,3,IF(L54&gt;500,2,IF(L54&gt;250,1,IF(L54&lt;250,0)))))))))))))))),"")</f>
        <v/>
      </c>
      <c r="M66" s="43" t="str">
        <f aca="false">IF(M54&lt;&gt;"",IF(M54&gt;4096000,15,IF(M54&gt;2048000,14,IF(M54&gt;1024000,13,IF(M54&gt;512000,12,IF(M54&gt;256000,11,IF(M54&gt;128000,10,IF(M54&gt;64000,9,IF(M54&gt;32000,8,IF(M54&gt;16000,7,IF(M54&gt;8000,6,IF(M54&gt;4000,5,IF(M54&gt;2000,4,IF(M54&gt;1000,3,IF(M54&gt;500,2,IF(M54&gt;250,1,IF(M54&lt;250,0)))))))))))))))),"")</f>
        <v/>
      </c>
      <c r="N66" s="43" t="str">
        <f aca="false">IF(N54&lt;&gt;"",IF(N54&gt;4096000,15,IF(N54&gt;2048000,14,IF(N54&gt;1024000,13,IF(N54&gt;512000,12,IF(N54&gt;256000,11,IF(N54&gt;128000,10,IF(N54&gt;64000,9,IF(N54&gt;32000,8,IF(N54&gt;16000,7,IF(N54&gt;8000,6,IF(N54&gt;4000,5,IF(N54&gt;2000,4,IF(N54&gt;1000,3,IF(N54&gt;500,2,IF(N54&gt;250,1,IF(N54&lt;250,0)))))))))))))))),"")</f>
        <v/>
      </c>
      <c r="O66" s="43" t="str">
        <f aca="false">IF(O54&lt;&gt;"",IF(O54&gt;4096000,15,IF(O54&gt;2048000,14,IF(O54&gt;1024000,13,IF(O54&gt;512000,12,IF(O54&gt;256000,11,IF(O54&gt;128000,10,IF(O54&gt;64000,9,IF(O54&gt;32000,8,IF(O54&gt;16000,7,IF(O54&gt;8000,6,IF(O54&gt;4000,5,IF(O54&gt;2000,4,IF(O54&gt;1000,3,IF(O54&gt;500,2,IF(O54&gt;250,1,IF(O54&lt;250,0)))))))))))))))),"")</f>
        <v/>
      </c>
      <c r="P66" s="43" t="str">
        <f aca="false">IF(P54&lt;&gt;"",IF(P54&gt;4096000,15,IF(P54&gt;2048000,14,IF(P54&gt;1024000,13,IF(P54&gt;512000,12,IF(P54&gt;256000,11,IF(P54&gt;128000,10,IF(P54&gt;64000,9,IF(P54&gt;32000,8,IF(P54&gt;16000,7,IF(P54&gt;8000,6,IF(P54&gt;4000,5,IF(P54&gt;2000,4,IF(P54&gt;1000,3,IF(P54&gt;500,2,IF(P54&gt;250,1,IF(P54&lt;250,0)))))))))))))))),"")</f>
        <v/>
      </c>
      <c r="Q66" s="43" t="str">
        <f aca="false">IF(Q54&lt;&gt;"",IF(Q54&gt;4096000,15,IF(Q54&gt;2048000,14,IF(Q54&gt;1024000,13,IF(Q54&gt;512000,12,IF(Q54&gt;256000,11,IF(Q54&gt;128000,10,IF(Q54&gt;64000,9,IF(Q54&gt;32000,8,IF(Q54&gt;16000,7,IF(Q54&gt;8000,6,IF(Q54&gt;4000,5,IF(Q54&gt;2000,4,IF(Q54&gt;1000,3,IF(Q54&gt;500,2,IF(Q54&gt;250,1,IF(Q54&lt;250,0)))))))))))))))),"")</f>
        <v/>
      </c>
      <c r="R66" s="43" t="str">
        <f aca="false">IF(R54&lt;&gt;"",IF(R54&gt;4096000,15,IF(R54&gt;2048000,14,IF(R54&gt;1024000,13,IF(R54&gt;512000,12,IF(R54&gt;256000,11,IF(R54&gt;128000,10,IF(R54&gt;64000,9,IF(R54&gt;32000,8,IF(R54&gt;16000,7,IF(R54&gt;8000,6,IF(R54&gt;4000,5,IF(R54&gt;2000,4,IF(R54&gt;1000,3,IF(R54&gt;500,2,IF(R54&gt;250,1,IF(R54&lt;250,0)))))))))))))))),"")</f>
        <v/>
      </c>
      <c r="S66" s="43" t="str">
        <f aca="false">IF(S54&lt;&gt;"",IF(S54&gt;4096000,15,IF(S54&gt;2048000,14,IF(S54&gt;1024000,13,IF(S54&gt;512000,12,IF(S54&gt;256000,11,IF(S54&gt;128000,10,IF(S54&gt;64000,9,IF(S54&gt;32000,8,IF(S54&gt;16000,7,IF(S54&gt;8000,6,IF(S54&gt;4000,5,IF(S54&gt;2000,4,IF(S54&gt;1000,3,IF(S54&gt;500,2,IF(S54&gt;250,1,IF(S54&lt;250,0)))))))))))))))),"")</f>
        <v/>
      </c>
      <c r="T66" s="43" t="str">
        <f aca="false">IF(T54&lt;&gt;"",IF(T54&gt;4096000,15,IF(T54&gt;2048000,14,IF(T54&gt;1024000,13,IF(T54&gt;512000,12,IF(T54&gt;256000,11,IF(T54&gt;128000,10,IF(T54&gt;64000,9,IF(T54&gt;32000,8,IF(T54&gt;16000,7,IF(T54&gt;8000,6,IF(T54&gt;4000,5,IF(T54&gt;2000,4,IF(T54&gt;1000,3,IF(T54&gt;500,2,IF(T54&gt;250,1,IF(T54&lt;250,0)))))))))))))))),"")</f>
        <v/>
      </c>
      <c r="U66" s="43" t="str">
        <f aca="false">IF(U54&lt;&gt;"",IF(U54&gt;4096000,15,IF(U54&gt;2048000,14,IF(U54&gt;1024000,13,IF(U54&gt;512000,12,IF(U54&gt;256000,11,IF(U54&gt;128000,10,IF(U54&gt;64000,9,IF(U54&gt;32000,8,IF(U54&gt;16000,7,IF(U54&gt;8000,6,IF(U54&gt;4000,5,IF(U54&gt;2000,4,IF(U54&gt;1000,3,IF(U54&gt;500,2,IF(U54&gt;250,1,IF(U54&lt;250,0)))))))))))))))),"")</f>
        <v/>
      </c>
      <c r="V66" s="43" t="str">
        <f aca="false">IF(V54&lt;&gt;"",IF(V54&gt;4096000,15,IF(V54&gt;2048000,14,IF(V54&gt;1024000,13,IF(V54&gt;512000,12,IF(V54&gt;256000,11,IF(V54&gt;128000,10,IF(V54&gt;64000,9,IF(V54&gt;32000,8,IF(V54&gt;16000,7,IF(V54&gt;8000,6,IF(V54&gt;4000,5,IF(V54&gt;2000,4,IF(V54&gt;1000,3,IF(V54&gt;500,2,IF(V54&gt;250,1,IF(V54&lt;250,0)))))))))))))))),"")</f>
        <v/>
      </c>
      <c r="W66" s="43" t="str">
        <f aca="false">IF(W54&lt;&gt;"",IF(W54&gt;4096000,15,IF(W54&gt;2048000,14,IF(W54&gt;1024000,13,IF(W54&gt;512000,12,IF(W54&gt;256000,11,IF(W54&gt;128000,10,IF(W54&gt;64000,9,IF(W54&gt;32000,8,IF(W54&gt;16000,7,IF(W54&gt;8000,6,IF(W54&gt;4000,5,IF(W54&gt;2000,4,IF(W54&gt;1000,3,IF(W54&gt;500,2,IF(W54&gt;250,1,IF(W54&lt;250,0)))))))))))))))),"")</f>
        <v/>
      </c>
      <c r="X66" s="43" t="str">
        <f aca="false">IF(X54&lt;&gt;"",IF(X54&gt;4096000,15,IF(X54&gt;2048000,14,IF(X54&gt;1024000,13,IF(X54&gt;512000,12,IF(X54&gt;256000,11,IF(X54&gt;128000,10,IF(X54&gt;64000,9,IF(X54&gt;32000,8,IF(X54&gt;16000,7,IF(X54&gt;8000,6,IF(X54&gt;4000,5,IF(X54&gt;2000,4,IF(X54&gt;1000,3,IF(X54&gt;500,2,IF(X54&gt;250,1,IF(X54&lt;250,0)))))))))))))))),"")</f>
        <v/>
      </c>
      <c r="Y66" s="43" t="str">
        <f aca="false">IF(Y54&lt;&gt;"",IF(Y54&gt;4096000,15,IF(Y54&gt;2048000,14,IF(Y54&gt;1024000,13,IF(Y54&gt;512000,12,IF(Y54&gt;256000,11,IF(Y54&gt;128000,10,IF(Y54&gt;64000,9,IF(Y54&gt;32000,8,IF(Y54&gt;16000,7,IF(Y54&gt;8000,6,IF(Y54&gt;4000,5,IF(Y54&gt;2000,4,IF(Y54&gt;1000,3,IF(Y54&gt;500,2,IF(Y54&gt;250,1,IF(Y54&lt;250,0)))))))))))))))),"")</f>
        <v/>
      </c>
      <c r="Z66" s="43" t="str">
        <f aca="false">IF(Z54&lt;&gt;"",IF(Z54&gt;4096000,15,IF(Z54&gt;2048000,14,IF(Z54&gt;1024000,13,IF(Z54&gt;512000,12,IF(Z54&gt;256000,11,IF(Z54&gt;128000,10,IF(Z54&gt;64000,9,IF(Z54&gt;32000,8,IF(Z54&gt;16000,7,IF(Z54&gt;8000,6,IF(Z54&gt;4000,5,IF(Z54&gt;2000,4,IF(Z54&gt;1000,3,IF(Z54&gt;500,2,IF(Z54&gt;250,1,IF(Z54&lt;250,0)))))))))))))))),"")</f>
        <v/>
      </c>
      <c r="AA66" s="43" t="str">
        <f aca="false">IF(AA54&lt;&gt;"",IF(AA54&gt;4096000,15,IF(AA54&gt;2048000,14,IF(AA54&gt;1024000,13,IF(AA54&gt;512000,12,IF(AA54&gt;256000,11,IF(AA54&gt;128000,10,IF(AA54&gt;64000,9,IF(AA54&gt;32000,8,IF(AA54&gt;16000,7,IF(AA54&gt;8000,6,IF(AA54&gt;4000,5,IF(AA54&gt;2000,4,IF(AA54&gt;1000,3,IF(AA54&gt;500,2,IF(AA54&gt;250,1,IF(AA54&lt;250,0)))))))))))))))),"")</f>
        <v/>
      </c>
      <c r="AB66" s="43" t="str">
        <f aca="false">IF(AB54&lt;&gt;"",IF(AB54&gt;4096000,15,IF(AB54&gt;2048000,14,IF(AB54&gt;1024000,13,IF(AB54&gt;512000,12,IF(AB54&gt;256000,11,IF(AB54&gt;128000,10,IF(AB54&gt;64000,9,IF(AB54&gt;32000,8,IF(AB54&gt;16000,7,IF(AB54&gt;8000,6,IF(AB54&gt;4000,5,IF(AB54&gt;2000,4,IF(AB54&gt;1000,3,IF(AB54&gt;500,2,IF(AB54&gt;250,1,IF(AB54&lt;250,0)))))))))))))))),"")</f>
        <v/>
      </c>
      <c r="AC66" s="43" t="str">
        <f aca="false">IF(AC54&lt;&gt;"",IF(AC54&gt;4096000,15,IF(AC54&gt;2048000,14,IF(AC54&gt;1024000,13,IF(AC54&gt;512000,12,IF(AC54&gt;256000,11,IF(AC54&gt;128000,10,IF(AC54&gt;64000,9,IF(AC54&gt;32000,8,IF(AC54&gt;16000,7,IF(AC54&gt;8000,6,IF(AC54&gt;4000,5,IF(AC54&gt;2000,4,IF(AC54&gt;1000,3,IF(AC54&gt;500,2,IF(AC54&gt;250,1,IF(AC54&lt;250,0)))))))))))))))),"")</f>
        <v/>
      </c>
      <c r="AD66" s="43" t="str">
        <f aca="false">IF(AD54&lt;&gt;"",IF(AD54&gt;4096000,15,IF(AD54&gt;2048000,14,IF(AD54&gt;1024000,13,IF(AD54&gt;512000,12,IF(AD54&gt;256000,11,IF(AD54&gt;128000,10,IF(AD54&gt;64000,9,IF(AD54&gt;32000,8,IF(AD54&gt;16000,7,IF(AD54&gt;8000,6,IF(AD54&gt;4000,5,IF(AD54&gt;2000,4,IF(AD54&gt;1000,3,IF(AD54&gt;500,2,IF(AD54&gt;250,1,IF(AD54&lt;250,0)))))))))))))))),"")</f>
        <v/>
      </c>
      <c r="AE66" s="43" t="str">
        <f aca="false">IF(AE54&lt;&gt;"",IF(AE54&gt;4096000,15,IF(AE54&gt;2048000,14,IF(AE54&gt;1024000,13,IF(AE54&gt;512000,12,IF(AE54&gt;256000,11,IF(AE54&gt;128000,10,IF(AE54&gt;64000,9,IF(AE54&gt;32000,8,IF(AE54&gt;16000,7,IF(AE54&gt;8000,6,IF(AE54&gt;4000,5,IF(AE54&gt;2000,4,IF(AE54&gt;1000,3,IF(AE54&gt;500,2,IF(AE54&gt;250,1,IF(AE54&lt;250,0)))))))))))))))),"")</f>
        <v/>
      </c>
      <c r="AF66" s="43" t="str">
        <f aca="false">IF(AF54&lt;&gt;"",IF(AF54&gt;4096000,15,IF(AF54&gt;2048000,14,IF(AF54&gt;1024000,13,IF(AF54&gt;512000,12,IF(AF54&gt;256000,11,IF(AF54&gt;128000,10,IF(AF54&gt;64000,9,IF(AF54&gt;32000,8,IF(AF54&gt;16000,7,IF(AF54&gt;8000,6,IF(AF54&gt;4000,5,IF(AF54&gt;2000,4,IF(AF54&gt;1000,3,IF(AF54&gt;500,2,IF(AF54&gt;250,1,IF(AF54&lt;250,0)))))))))))))))),"")</f>
        <v/>
      </c>
      <c r="AG66" s="43" t="str">
        <f aca="false">IF(AG54&lt;&gt;"",IF(AG54&gt;4096000,15,IF(AG54&gt;2048000,14,IF(AG54&gt;1024000,13,IF(AG54&gt;512000,12,IF(AG54&gt;256000,11,IF(AG54&gt;128000,10,IF(AG54&gt;64000,9,IF(AG54&gt;32000,8,IF(AG54&gt;16000,7,IF(AG54&gt;8000,6,IF(AG54&gt;4000,5,IF(AG54&gt;2000,4,IF(AG54&gt;1000,3,IF(AG54&gt;500,2,IF(AG54&gt;250,1,IF(AG54&lt;250,0)))))))))))))))),"")</f>
        <v/>
      </c>
      <c r="AH66" s="43" t="str">
        <f aca="false">IF(AH54&lt;&gt;"",IF(AH54&gt;4096000,15,IF(AH54&gt;2048000,14,IF(AH54&gt;1024000,13,IF(AH54&gt;512000,12,IF(AH54&gt;256000,11,IF(AH54&gt;128000,10,IF(AH54&gt;64000,9,IF(AH54&gt;32000,8,IF(AH54&gt;16000,7,IF(AH54&gt;8000,6,IF(AH54&gt;4000,5,IF(AH54&gt;2000,4,IF(AH54&gt;1000,3,IF(AH54&gt;500,2,IF(AH54&gt;250,1,IF(AH54&lt;250,0)))))))))))))))),"")</f>
        <v/>
      </c>
      <c r="AI66" s="43" t="str">
        <f aca="false">IF(AI54&lt;&gt;"",IF(AI54&gt;4096000,15,IF(AI54&gt;2048000,14,IF(AI54&gt;1024000,13,IF(AI54&gt;512000,12,IF(AI54&gt;256000,11,IF(AI54&gt;128000,10,IF(AI54&gt;64000,9,IF(AI54&gt;32000,8,IF(AI54&gt;16000,7,IF(AI54&gt;8000,6,IF(AI54&gt;4000,5,IF(AI54&gt;2000,4,IF(AI54&gt;1000,3,IF(AI54&gt;500,2,IF(AI54&gt;250,1,IF(AI54&lt;250,0)))))))))))))))),"")</f>
        <v/>
      </c>
      <c r="AJ66" s="43" t="str">
        <f aca="false">IF(AJ54&lt;&gt;"",IF(AJ54&gt;4096000,15,IF(AJ54&gt;2048000,14,IF(AJ54&gt;1024000,13,IF(AJ54&gt;512000,12,IF(AJ54&gt;256000,11,IF(AJ54&gt;128000,10,IF(AJ54&gt;64000,9,IF(AJ54&gt;32000,8,IF(AJ54&gt;16000,7,IF(AJ54&gt;8000,6,IF(AJ54&gt;4000,5,IF(AJ54&gt;2000,4,IF(AJ54&gt;1000,3,IF(AJ54&gt;500,2,IF(AJ54&gt;250,1,IF(AJ54&lt;250,0)))))))))))))))),"")</f>
        <v/>
      </c>
      <c r="AK66" s="44" t="str">
        <f aca="false">IF(AK54&lt;&gt;"",IF(AK54&gt;4096000,15,IF(AK54&gt;2048000,14,IF(AK54&gt;1024000,13,IF(AK54&gt;512000,12,IF(AK54&gt;256000,11,IF(AK54&gt;128000,10,IF(AK54&gt;64000,9,IF(AK54&gt;32000,8,IF(AK54&gt;16000,7,IF(AK54&gt;8000,6,IF(AK54&gt;4000,5,IF(AK54&gt;2000,4,IF(AK54&gt;1000,3,IF(AK54&gt;500,2,IF(AK54&gt;250,1,IF(AK54&lt;250,0)))))))))))))))),"")</f>
        <v/>
      </c>
      <c r="AL66" s="33"/>
      <c r="AM66" s="34"/>
      <c r="AN66" s="34"/>
      <c r="AO66" s="34"/>
      <c r="AP66" s="34"/>
      <c r="AQ66" s="34"/>
      <c r="AR66" s="40"/>
    </row>
    <row r="67" s="37" customFormat="true" ht="13.8" hidden="false" customHeight="false" outlineLevel="0" collapsed="false">
      <c r="A67" s="31"/>
      <c r="B67" s="36"/>
      <c r="C67" s="37" t="s">
        <v>110</v>
      </c>
      <c r="D67" s="37" t="s">
        <v>131</v>
      </c>
      <c r="E67" s="43" t="str">
        <f aca="false">IF(E55&lt;&gt;"",IF(E55&gt;729600,15,IF(E55&gt;364800,14,IF(E55&gt;182400,13,IF(E55&gt;91200,12,IF(E55&gt;45600,11,IF(E55&gt;22800,10,IF(E55&gt;11400,9,IF(E55&gt;5700,8,IF(E55&gt;2850,7,IF(E55&gt;1425,6,IF(E55&gt;712,5,IF(E55&gt;356,4,IF(E55&gt;178,3,IF(E55&gt;88,2,IF(E55&gt;44,1,IF(E55&lt;44,0)))))))))))))))),"")</f>
        <v/>
      </c>
      <c r="F67" s="43" t="str">
        <f aca="false">IF(F55&lt;&gt;"",IF(F55&gt;729600,15,IF(F55&gt;364800,14,IF(F55&gt;182400,13,IF(F55&gt;91200,12,IF(F55&gt;45600,11,IF(F55&gt;22800,10,IF(F55&gt;11400,9,IF(F55&gt;5700,8,IF(F55&gt;2850,7,IF(F55&gt;1425,6,IF(F55&gt;712,5,IF(F55&gt;356,4,IF(F55&gt;178,3,IF(F55&gt;88,2,IF(F55&gt;44,1,IF(F55&lt;44,0)))))))))))))))),"")</f>
        <v/>
      </c>
      <c r="G67" s="43" t="str">
        <f aca="false">IF(G55&lt;&gt;"",IF(G55&gt;729600,15,IF(G55&gt;364800,14,IF(G55&gt;182400,13,IF(G55&gt;91200,12,IF(G55&gt;45600,11,IF(G55&gt;22800,10,IF(G55&gt;11400,9,IF(G55&gt;5700,8,IF(G55&gt;2850,7,IF(G55&gt;1425,6,IF(G55&gt;712,5,IF(G55&gt;356,4,IF(G55&gt;178,3,IF(G55&gt;88,2,IF(G55&gt;44,1,IF(G55&lt;44,0)))))))))))))))),"")</f>
        <v/>
      </c>
      <c r="H67" s="43" t="str">
        <f aca="false">IF(H55&lt;&gt;"",IF(H55&gt;729600,15,IF(H55&gt;364800,14,IF(H55&gt;182400,13,IF(H55&gt;91200,12,IF(H55&gt;45600,11,IF(H55&gt;22800,10,IF(H55&gt;11400,9,IF(H55&gt;5700,8,IF(H55&gt;2850,7,IF(H55&gt;1425,6,IF(H55&gt;712,5,IF(H55&gt;356,4,IF(H55&gt;178,3,IF(H55&gt;88,2,IF(H55&gt;44,1,IF(H55&lt;44,0)))))))))))))))),"")</f>
        <v/>
      </c>
      <c r="I67" s="43" t="str">
        <f aca="false">IF(I55&lt;&gt;"",IF(I55&gt;729600,15,IF(I55&gt;364800,14,IF(I55&gt;182400,13,IF(I55&gt;91200,12,IF(I55&gt;45600,11,IF(I55&gt;22800,10,IF(I55&gt;11400,9,IF(I55&gt;5700,8,IF(I55&gt;2850,7,IF(I55&gt;1425,6,IF(I55&gt;712,5,IF(I55&gt;356,4,IF(I55&gt;178,3,IF(I55&gt;88,2,IF(I55&gt;44,1,IF(I55&lt;44,0)))))))))))))))),"")</f>
        <v/>
      </c>
      <c r="J67" s="43" t="str">
        <f aca="false">IF(J55&lt;&gt;"",IF(J55&gt;729600,15,IF(J55&gt;364800,14,IF(J55&gt;182400,13,IF(J55&gt;91200,12,IF(J55&gt;45600,11,IF(J55&gt;22800,10,IF(J55&gt;11400,9,IF(J55&gt;5700,8,IF(J55&gt;2850,7,IF(J55&gt;1425,6,IF(J55&gt;712,5,IF(J55&gt;356,4,IF(J55&gt;178,3,IF(J55&gt;88,2,IF(J55&gt;44,1,IF(J55&lt;44,0)))))))))))))))),"")</f>
        <v/>
      </c>
      <c r="K67" s="43" t="str">
        <f aca="false">IF(K55&lt;&gt;"",IF(K55&gt;729600,15,IF(K55&gt;364800,14,IF(K55&gt;182400,13,IF(K55&gt;91200,12,IF(K55&gt;45600,11,IF(K55&gt;22800,10,IF(K55&gt;11400,9,IF(K55&gt;5700,8,IF(K55&gt;2850,7,IF(K55&gt;1425,6,IF(K55&gt;712,5,IF(K55&gt;356,4,IF(K55&gt;178,3,IF(K55&gt;88,2,IF(K55&gt;44,1,IF(K55&lt;44,0)))))))))))))))),"")</f>
        <v/>
      </c>
      <c r="L67" s="43" t="str">
        <f aca="false">IF(L55&lt;&gt;"",IF(L55&gt;729600,15,IF(L55&gt;364800,14,IF(L55&gt;182400,13,IF(L55&gt;91200,12,IF(L55&gt;45600,11,IF(L55&gt;22800,10,IF(L55&gt;11400,9,IF(L55&gt;5700,8,IF(L55&gt;2850,7,IF(L55&gt;1425,6,IF(L55&gt;712,5,IF(L55&gt;356,4,IF(L55&gt;178,3,IF(L55&gt;88,2,IF(L55&gt;44,1,IF(L55&lt;44,0)))))))))))))))),"")</f>
        <v/>
      </c>
      <c r="M67" s="43" t="str">
        <f aca="false">IF(M55&lt;&gt;"",IF(M55&gt;729600,15,IF(M55&gt;364800,14,IF(M55&gt;182400,13,IF(M55&gt;91200,12,IF(M55&gt;45600,11,IF(M55&gt;22800,10,IF(M55&gt;11400,9,IF(M55&gt;5700,8,IF(M55&gt;2850,7,IF(M55&gt;1425,6,IF(M55&gt;712,5,IF(M55&gt;356,4,IF(M55&gt;178,3,IF(M55&gt;88,2,IF(M55&gt;44,1,IF(M55&lt;44,0)))))))))))))))),"")</f>
        <v/>
      </c>
      <c r="N67" s="43" t="str">
        <f aca="false">IF(N55&lt;&gt;"",IF(N55&gt;729600,15,IF(N55&gt;364800,14,IF(N55&gt;182400,13,IF(N55&gt;91200,12,IF(N55&gt;45600,11,IF(N55&gt;22800,10,IF(N55&gt;11400,9,IF(N55&gt;5700,8,IF(N55&gt;2850,7,IF(N55&gt;1425,6,IF(N55&gt;712,5,IF(N55&gt;356,4,IF(N55&gt;178,3,IF(N55&gt;88,2,IF(N55&gt;44,1,IF(N55&lt;44,0)))))))))))))))),"")</f>
        <v/>
      </c>
      <c r="O67" s="43" t="str">
        <f aca="false">IF(O55&lt;&gt;"",IF(O55&gt;729600,15,IF(O55&gt;364800,14,IF(O55&gt;182400,13,IF(O55&gt;91200,12,IF(O55&gt;45600,11,IF(O55&gt;22800,10,IF(O55&gt;11400,9,IF(O55&gt;5700,8,IF(O55&gt;2850,7,IF(O55&gt;1425,6,IF(O55&gt;712,5,IF(O55&gt;356,4,IF(O55&gt;178,3,IF(O55&gt;88,2,IF(O55&gt;44,1,IF(O55&lt;44,0)))))))))))))))),"")</f>
        <v/>
      </c>
      <c r="P67" s="43" t="str">
        <f aca="false">IF(P55&lt;&gt;"",IF(P55&gt;729600,15,IF(P55&gt;364800,14,IF(P55&gt;182400,13,IF(P55&gt;91200,12,IF(P55&gt;45600,11,IF(P55&gt;22800,10,IF(P55&gt;11400,9,IF(P55&gt;5700,8,IF(P55&gt;2850,7,IF(P55&gt;1425,6,IF(P55&gt;712,5,IF(P55&gt;356,4,IF(P55&gt;178,3,IF(P55&gt;88,2,IF(P55&gt;44,1,IF(P55&lt;44,0)))))))))))))))),"")</f>
        <v/>
      </c>
      <c r="Q67" s="43" t="str">
        <f aca="false">IF(Q55&lt;&gt;"",IF(Q55&gt;729600,15,IF(Q55&gt;364800,14,IF(Q55&gt;182400,13,IF(Q55&gt;91200,12,IF(Q55&gt;45600,11,IF(Q55&gt;22800,10,IF(Q55&gt;11400,9,IF(Q55&gt;5700,8,IF(Q55&gt;2850,7,IF(Q55&gt;1425,6,IF(Q55&gt;712,5,IF(Q55&gt;356,4,IF(Q55&gt;178,3,IF(Q55&gt;88,2,IF(Q55&gt;44,1,IF(Q55&lt;44,0)))))))))))))))),"")</f>
        <v/>
      </c>
      <c r="R67" s="43" t="str">
        <f aca="false">IF(R55&lt;&gt;"",IF(R55&gt;729600,15,IF(R55&gt;364800,14,IF(R55&gt;182400,13,IF(R55&gt;91200,12,IF(R55&gt;45600,11,IF(R55&gt;22800,10,IF(R55&gt;11400,9,IF(R55&gt;5700,8,IF(R55&gt;2850,7,IF(R55&gt;1425,6,IF(R55&gt;712,5,IF(R55&gt;356,4,IF(R55&gt;178,3,IF(R55&gt;88,2,IF(R55&gt;44,1,IF(R55&lt;44,0)))))))))))))))),"")</f>
        <v/>
      </c>
      <c r="S67" s="43" t="str">
        <f aca="false">IF(S55&lt;&gt;"",IF(S55&gt;729600,15,IF(S55&gt;364800,14,IF(S55&gt;182400,13,IF(S55&gt;91200,12,IF(S55&gt;45600,11,IF(S55&gt;22800,10,IF(S55&gt;11400,9,IF(S55&gt;5700,8,IF(S55&gt;2850,7,IF(S55&gt;1425,6,IF(S55&gt;712,5,IF(S55&gt;356,4,IF(S55&gt;178,3,IF(S55&gt;88,2,IF(S55&gt;44,1,IF(S55&lt;44,0)))))))))))))))),"")</f>
        <v/>
      </c>
      <c r="T67" s="43" t="str">
        <f aca="false">IF(T55&lt;&gt;"",IF(T55&gt;729600,15,IF(T55&gt;364800,14,IF(T55&gt;182400,13,IF(T55&gt;91200,12,IF(T55&gt;45600,11,IF(T55&gt;22800,10,IF(T55&gt;11400,9,IF(T55&gt;5700,8,IF(T55&gt;2850,7,IF(T55&gt;1425,6,IF(T55&gt;712,5,IF(T55&gt;356,4,IF(T55&gt;178,3,IF(T55&gt;88,2,IF(T55&gt;44,1,IF(T55&lt;44,0)))))))))))))))),"")</f>
        <v/>
      </c>
      <c r="U67" s="43" t="str">
        <f aca="false">IF(U55&lt;&gt;"",IF(U55&gt;729600,15,IF(U55&gt;364800,14,IF(U55&gt;182400,13,IF(U55&gt;91200,12,IF(U55&gt;45600,11,IF(U55&gt;22800,10,IF(U55&gt;11400,9,IF(U55&gt;5700,8,IF(U55&gt;2850,7,IF(U55&gt;1425,6,IF(U55&gt;712,5,IF(U55&gt;356,4,IF(U55&gt;178,3,IF(U55&gt;88,2,IF(U55&gt;44,1,IF(U55&lt;44,0)))))))))))))))),"")</f>
        <v/>
      </c>
      <c r="V67" s="43" t="str">
        <f aca="false">IF(V55&lt;&gt;"",IF(V55&gt;729600,15,IF(V55&gt;364800,14,IF(V55&gt;182400,13,IF(V55&gt;91200,12,IF(V55&gt;45600,11,IF(V55&gt;22800,10,IF(V55&gt;11400,9,IF(V55&gt;5700,8,IF(V55&gt;2850,7,IF(V55&gt;1425,6,IF(V55&gt;712,5,IF(V55&gt;356,4,IF(V55&gt;178,3,IF(V55&gt;88,2,IF(V55&gt;44,1,IF(V55&lt;44,0)))))))))))))))),"")</f>
        <v/>
      </c>
      <c r="W67" s="43" t="str">
        <f aca="false">IF(W55&lt;&gt;"",IF(W55&gt;729600,15,IF(W55&gt;364800,14,IF(W55&gt;182400,13,IF(W55&gt;91200,12,IF(W55&gt;45600,11,IF(W55&gt;22800,10,IF(W55&gt;11400,9,IF(W55&gt;5700,8,IF(W55&gt;2850,7,IF(W55&gt;1425,6,IF(W55&gt;712,5,IF(W55&gt;356,4,IF(W55&gt;178,3,IF(W55&gt;88,2,IF(W55&gt;44,1,IF(W55&lt;44,0)))))))))))))))),"")</f>
        <v/>
      </c>
      <c r="X67" s="43" t="str">
        <f aca="false">IF(X55&lt;&gt;"",IF(X55&gt;729600,15,IF(X55&gt;364800,14,IF(X55&gt;182400,13,IF(X55&gt;91200,12,IF(X55&gt;45600,11,IF(X55&gt;22800,10,IF(X55&gt;11400,9,IF(X55&gt;5700,8,IF(X55&gt;2850,7,IF(X55&gt;1425,6,IF(X55&gt;712,5,IF(X55&gt;356,4,IF(X55&gt;178,3,IF(X55&gt;88,2,IF(X55&gt;44,1,IF(X55&lt;44,0)))))))))))))))),"")</f>
        <v/>
      </c>
      <c r="Y67" s="43" t="str">
        <f aca="false">IF(Y55&lt;&gt;"",IF(Y55&gt;729600,15,IF(Y55&gt;364800,14,IF(Y55&gt;182400,13,IF(Y55&gt;91200,12,IF(Y55&gt;45600,11,IF(Y55&gt;22800,10,IF(Y55&gt;11400,9,IF(Y55&gt;5700,8,IF(Y55&gt;2850,7,IF(Y55&gt;1425,6,IF(Y55&gt;712,5,IF(Y55&gt;356,4,IF(Y55&gt;178,3,IF(Y55&gt;88,2,IF(Y55&gt;44,1,IF(Y55&lt;44,0)))))))))))))))),"")</f>
        <v/>
      </c>
      <c r="Z67" s="43" t="str">
        <f aca="false">IF(Z55&lt;&gt;"",IF(Z55&gt;729600,15,IF(Z55&gt;364800,14,IF(Z55&gt;182400,13,IF(Z55&gt;91200,12,IF(Z55&gt;45600,11,IF(Z55&gt;22800,10,IF(Z55&gt;11400,9,IF(Z55&gt;5700,8,IF(Z55&gt;2850,7,IF(Z55&gt;1425,6,IF(Z55&gt;712,5,IF(Z55&gt;356,4,IF(Z55&gt;178,3,IF(Z55&gt;88,2,IF(Z55&gt;44,1,IF(Z55&lt;44,0)))))))))))))))),"")</f>
        <v/>
      </c>
      <c r="AA67" s="43" t="str">
        <f aca="false">IF(AA55&lt;&gt;"",IF(AA55&gt;729600,15,IF(AA55&gt;364800,14,IF(AA55&gt;182400,13,IF(AA55&gt;91200,12,IF(AA55&gt;45600,11,IF(AA55&gt;22800,10,IF(AA55&gt;11400,9,IF(AA55&gt;5700,8,IF(AA55&gt;2850,7,IF(AA55&gt;1425,6,IF(AA55&gt;712,5,IF(AA55&gt;356,4,IF(AA55&gt;178,3,IF(AA55&gt;88,2,IF(AA55&gt;44,1,IF(AA55&lt;44,0)))))))))))))))),"")</f>
        <v/>
      </c>
      <c r="AB67" s="43" t="str">
        <f aca="false">IF(AB55&lt;&gt;"",IF(AB55&gt;729600,15,IF(AB55&gt;364800,14,IF(AB55&gt;182400,13,IF(AB55&gt;91200,12,IF(AB55&gt;45600,11,IF(AB55&gt;22800,10,IF(AB55&gt;11400,9,IF(AB55&gt;5700,8,IF(AB55&gt;2850,7,IF(AB55&gt;1425,6,IF(AB55&gt;712,5,IF(AB55&gt;356,4,IF(AB55&gt;178,3,IF(AB55&gt;88,2,IF(AB55&gt;44,1,IF(AB55&lt;44,0)))))))))))))))),"")</f>
        <v/>
      </c>
      <c r="AC67" s="43" t="str">
        <f aca="false">IF(AC55&lt;&gt;"",IF(AC55&gt;729600,15,IF(AC55&gt;364800,14,IF(AC55&gt;182400,13,IF(AC55&gt;91200,12,IF(AC55&gt;45600,11,IF(AC55&gt;22800,10,IF(AC55&gt;11400,9,IF(AC55&gt;5700,8,IF(AC55&gt;2850,7,IF(AC55&gt;1425,6,IF(AC55&gt;712,5,IF(AC55&gt;356,4,IF(AC55&gt;178,3,IF(AC55&gt;88,2,IF(AC55&gt;44,1,IF(AC55&lt;44,0)))))))))))))))),"")</f>
        <v/>
      </c>
      <c r="AD67" s="43" t="str">
        <f aca="false">IF(AD55&lt;&gt;"",IF(AD55&gt;729600,15,IF(AD55&gt;364800,14,IF(AD55&gt;182400,13,IF(AD55&gt;91200,12,IF(AD55&gt;45600,11,IF(AD55&gt;22800,10,IF(AD55&gt;11400,9,IF(AD55&gt;5700,8,IF(AD55&gt;2850,7,IF(AD55&gt;1425,6,IF(AD55&gt;712,5,IF(AD55&gt;356,4,IF(AD55&gt;178,3,IF(AD55&gt;88,2,IF(AD55&gt;44,1,IF(AD55&lt;44,0)))))))))))))))),"")</f>
        <v/>
      </c>
      <c r="AE67" s="43" t="str">
        <f aca="false">IF(AE55&lt;&gt;"",IF(AE55&gt;729600,15,IF(AE55&gt;364800,14,IF(AE55&gt;182400,13,IF(AE55&gt;91200,12,IF(AE55&gt;45600,11,IF(AE55&gt;22800,10,IF(AE55&gt;11400,9,IF(AE55&gt;5700,8,IF(AE55&gt;2850,7,IF(AE55&gt;1425,6,IF(AE55&gt;712,5,IF(AE55&gt;356,4,IF(AE55&gt;178,3,IF(AE55&gt;88,2,IF(AE55&gt;44,1,IF(AE55&lt;44,0)))))))))))))))),"")</f>
        <v/>
      </c>
      <c r="AF67" s="43" t="str">
        <f aca="false">IF(AF55&lt;&gt;"",IF(AF55&gt;729600,15,IF(AF55&gt;364800,14,IF(AF55&gt;182400,13,IF(AF55&gt;91200,12,IF(AF55&gt;45600,11,IF(AF55&gt;22800,10,IF(AF55&gt;11400,9,IF(AF55&gt;5700,8,IF(AF55&gt;2850,7,IF(AF55&gt;1425,6,IF(AF55&gt;712,5,IF(AF55&gt;356,4,IF(AF55&gt;178,3,IF(AF55&gt;88,2,IF(AF55&gt;44,1,IF(AF55&lt;44,0)))))))))))))))),"")</f>
        <v/>
      </c>
      <c r="AG67" s="43" t="str">
        <f aca="false">IF(AG55&lt;&gt;"",IF(AG55&gt;729600,15,IF(AG55&gt;364800,14,IF(AG55&gt;182400,13,IF(AG55&gt;91200,12,IF(AG55&gt;45600,11,IF(AG55&gt;22800,10,IF(AG55&gt;11400,9,IF(AG55&gt;5700,8,IF(AG55&gt;2850,7,IF(AG55&gt;1425,6,IF(AG55&gt;712,5,IF(AG55&gt;356,4,IF(AG55&gt;178,3,IF(AG55&gt;88,2,IF(AG55&gt;44,1,IF(AG55&lt;44,0)))))))))))))))),"")</f>
        <v/>
      </c>
      <c r="AH67" s="43" t="str">
        <f aca="false">IF(AH55&lt;&gt;"",IF(AH55&gt;729600,15,IF(AH55&gt;364800,14,IF(AH55&gt;182400,13,IF(AH55&gt;91200,12,IF(AH55&gt;45600,11,IF(AH55&gt;22800,10,IF(AH55&gt;11400,9,IF(AH55&gt;5700,8,IF(AH55&gt;2850,7,IF(AH55&gt;1425,6,IF(AH55&gt;712,5,IF(AH55&gt;356,4,IF(AH55&gt;178,3,IF(AH55&gt;88,2,IF(AH55&gt;44,1,IF(AH55&lt;44,0)))))))))))))))),"")</f>
        <v/>
      </c>
      <c r="AI67" s="43" t="str">
        <f aca="false">IF(AI55&lt;&gt;"",IF(AI55&gt;729600,15,IF(AI55&gt;364800,14,IF(AI55&gt;182400,13,IF(AI55&gt;91200,12,IF(AI55&gt;45600,11,IF(AI55&gt;22800,10,IF(AI55&gt;11400,9,IF(AI55&gt;5700,8,IF(AI55&gt;2850,7,IF(AI55&gt;1425,6,IF(AI55&gt;712,5,IF(AI55&gt;356,4,IF(AI55&gt;178,3,IF(AI55&gt;88,2,IF(AI55&gt;44,1,IF(AI55&lt;44,0)))))))))))))))),"")</f>
        <v/>
      </c>
      <c r="AJ67" s="43" t="str">
        <f aca="false">IF(AJ55&lt;&gt;"",IF(AJ55&gt;729600,15,IF(AJ55&gt;364800,14,IF(AJ55&gt;182400,13,IF(AJ55&gt;91200,12,IF(AJ55&gt;45600,11,IF(AJ55&gt;22800,10,IF(AJ55&gt;11400,9,IF(AJ55&gt;5700,8,IF(AJ55&gt;2850,7,IF(AJ55&gt;1425,6,IF(AJ55&gt;712,5,IF(AJ55&gt;356,4,IF(AJ55&gt;178,3,IF(AJ55&gt;88,2,IF(AJ55&gt;44,1,IF(AJ55&lt;44,0)))))))))))))))),"")</f>
        <v/>
      </c>
      <c r="AK67" s="44" t="str">
        <f aca="false">IF(AK55&lt;&gt;"",IF(AK55&gt;729600,15,IF(AK55&gt;364800,14,IF(AK55&gt;182400,13,IF(AK55&gt;91200,12,IF(AK55&gt;45600,11,IF(AK55&gt;22800,10,IF(AK55&gt;11400,9,IF(AK55&gt;5700,8,IF(AK55&gt;2850,7,IF(AK55&gt;1425,6,IF(AK55&gt;712,5,IF(AK55&gt;356,4,IF(AK55&gt;178,3,IF(AK55&gt;88,2,IF(AK55&gt;44,1,IF(AK55&lt;44,0)))))))))))))))),"")</f>
        <v/>
      </c>
      <c r="AL67" s="33"/>
      <c r="AM67" s="34"/>
      <c r="AN67" s="34"/>
      <c r="AO67" s="34"/>
      <c r="AP67" s="34"/>
      <c r="AQ67" s="34"/>
      <c r="AR67" s="40"/>
    </row>
    <row r="68" s="37" customFormat="true" ht="13.8" hidden="false" customHeight="false" outlineLevel="0" collapsed="false">
      <c r="A68" s="31"/>
      <c r="B68" s="36"/>
      <c r="C68" s="37" t="s">
        <v>112</v>
      </c>
      <c r="D68" s="37" t="s">
        <v>132</v>
      </c>
      <c r="E68" s="43" t="str">
        <f aca="false">IF(E56&lt;&gt;"",IF(E56&gt;129600,15,IF(E56&gt;64800,14,IF(E56&gt;32400,13,IF(E56&gt;16200,12,IF(E56&gt;8100,11,IF(E56&gt;4050,10,IF(E56&gt;2025,9,IF(E56&gt;1012,8,IF(E56&gt;506,7,IF(E56&gt;253,6,IF(E56&gt;126,5,IF(E56&gt;63,4,IF(E56&gt;32,3,IF(E56&gt;16,2,IF(E56&gt;8,1,IF(E56&lt;8,0)))))))))))))))),"")</f>
        <v/>
      </c>
      <c r="F68" s="43" t="str">
        <f aca="false">IF(F56&lt;&gt;"",IF(F56&gt;129600,15,IF(F56&gt;64800,14,IF(F56&gt;32400,13,IF(F56&gt;16200,12,IF(F56&gt;8100,11,IF(F56&gt;4050,10,IF(F56&gt;2025,9,IF(F56&gt;1012,8,IF(F56&gt;506,7,IF(F56&gt;253,6,IF(F56&gt;126,5,IF(F56&gt;63,4,IF(F56&gt;32,3,IF(F56&gt;16,2,IF(F56&gt;8,1,IF(F56&lt;8,0)))))))))))))))),"")</f>
        <v/>
      </c>
      <c r="G68" s="43" t="str">
        <f aca="false">IF(G56&lt;&gt;"",IF(G56&gt;129600,15,IF(G56&gt;64800,14,IF(G56&gt;32400,13,IF(G56&gt;16200,12,IF(G56&gt;8100,11,IF(G56&gt;4050,10,IF(G56&gt;2025,9,IF(G56&gt;1012,8,IF(G56&gt;506,7,IF(G56&gt;253,6,IF(G56&gt;126,5,IF(G56&gt;63,4,IF(G56&gt;32,3,IF(G56&gt;16,2,IF(G56&gt;8,1,IF(G56&lt;8,0)))))))))))))))),"")</f>
        <v/>
      </c>
      <c r="H68" s="43" t="str">
        <f aca="false">IF(H56&lt;&gt;"",IF(H56&gt;129600,15,IF(H56&gt;64800,14,IF(H56&gt;32400,13,IF(H56&gt;16200,12,IF(H56&gt;8100,11,IF(H56&gt;4050,10,IF(H56&gt;2025,9,IF(H56&gt;1012,8,IF(H56&gt;506,7,IF(H56&gt;253,6,IF(H56&gt;126,5,IF(H56&gt;63,4,IF(H56&gt;32,3,IF(H56&gt;16,2,IF(H56&gt;8,1,IF(H56&lt;8,0)))))))))))))))),"")</f>
        <v/>
      </c>
      <c r="I68" s="43" t="str">
        <f aca="false">IF(I56&lt;&gt;"",IF(I56&gt;129600,15,IF(I56&gt;64800,14,IF(I56&gt;32400,13,IF(I56&gt;16200,12,IF(I56&gt;8100,11,IF(I56&gt;4050,10,IF(I56&gt;2025,9,IF(I56&gt;1012,8,IF(I56&gt;506,7,IF(I56&gt;253,6,IF(I56&gt;126,5,IF(I56&gt;63,4,IF(I56&gt;32,3,IF(I56&gt;16,2,IF(I56&gt;8,1,IF(I56&lt;8,0)))))))))))))))),"")</f>
        <v/>
      </c>
      <c r="J68" s="43" t="str">
        <f aca="false">IF(J56&lt;&gt;"",IF(J56&gt;129600,15,IF(J56&gt;64800,14,IF(J56&gt;32400,13,IF(J56&gt;16200,12,IF(J56&gt;8100,11,IF(J56&gt;4050,10,IF(J56&gt;2025,9,IF(J56&gt;1012,8,IF(J56&gt;506,7,IF(J56&gt;253,6,IF(J56&gt;126,5,IF(J56&gt;63,4,IF(J56&gt;32,3,IF(J56&gt;16,2,IF(J56&gt;8,1,IF(J56&lt;8,0)))))))))))))))),"")</f>
        <v/>
      </c>
      <c r="K68" s="43" t="str">
        <f aca="false">IF(K56&lt;&gt;"",IF(K56&gt;129600,15,IF(K56&gt;64800,14,IF(K56&gt;32400,13,IF(K56&gt;16200,12,IF(K56&gt;8100,11,IF(K56&gt;4050,10,IF(K56&gt;2025,9,IF(K56&gt;1012,8,IF(K56&gt;506,7,IF(K56&gt;253,6,IF(K56&gt;126,5,IF(K56&gt;63,4,IF(K56&gt;32,3,IF(K56&gt;16,2,IF(K56&gt;8,1,IF(K56&lt;8,0)))))))))))))))),"")</f>
        <v/>
      </c>
      <c r="L68" s="43" t="str">
        <f aca="false">IF(L56&lt;&gt;"",IF(L56&gt;129600,15,IF(L56&gt;64800,14,IF(L56&gt;32400,13,IF(L56&gt;16200,12,IF(L56&gt;8100,11,IF(L56&gt;4050,10,IF(L56&gt;2025,9,IF(L56&gt;1012,8,IF(L56&gt;506,7,IF(L56&gt;253,6,IF(L56&gt;126,5,IF(L56&gt;63,4,IF(L56&gt;32,3,IF(L56&gt;16,2,IF(L56&gt;8,1,IF(L56&lt;8,0)))))))))))))))),"")</f>
        <v/>
      </c>
      <c r="M68" s="43" t="str">
        <f aca="false">IF(M56&lt;&gt;"",IF(M56&gt;129600,15,IF(M56&gt;64800,14,IF(M56&gt;32400,13,IF(M56&gt;16200,12,IF(M56&gt;8100,11,IF(M56&gt;4050,10,IF(M56&gt;2025,9,IF(M56&gt;1012,8,IF(M56&gt;506,7,IF(M56&gt;253,6,IF(M56&gt;126,5,IF(M56&gt;63,4,IF(M56&gt;32,3,IF(M56&gt;16,2,IF(M56&gt;8,1,IF(M56&lt;8,0)))))))))))))))),"")</f>
        <v/>
      </c>
      <c r="N68" s="43" t="str">
        <f aca="false">IF(N56&lt;&gt;"",IF(N56&gt;129600,15,IF(N56&gt;64800,14,IF(N56&gt;32400,13,IF(N56&gt;16200,12,IF(N56&gt;8100,11,IF(N56&gt;4050,10,IF(N56&gt;2025,9,IF(N56&gt;1012,8,IF(N56&gt;506,7,IF(N56&gt;253,6,IF(N56&gt;126,5,IF(N56&gt;63,4,IF(N56&gt;32,3,IF(N56&gt;16,2,IF(N56&gt;8,1,IF(N56&lt;8,0)))))))))))))))),"")</f>
        <v/>
      </c>
      <c r="O68" s="43" t="str">
        <f aca="false">IF(O56&lt;&gt;"",IF(O56&gt;129600,15,IF(O56&gt;64800,14,IF(O56&gt;32400,13,IF(O56&gt;16200,12,IF(O56&gt;8100,11,IF(O56&gt;4050,10,IF(O56&gt;2025,9,IF(O56&gt;1012,8,IF(O56&gt;506,7,IF(O56&gt;253,6,IF(O56&gt;126,5,IF(O56&gt;63,4,IF(O56&gt;32,3,IF(O56&gt;16,2,IF(O56&gt;8,1,IF(O56&lt;8,0)))))))))))))))),"")</f>
        <v/>
      </c>
      <c r="P68" s="43" t="str">
        <f aca="false">IF(P56&lt;&gt;"",IF(P56&gt;129600,15,IF(P56&gt;64800,14,IF(P56&gt;32400,13,IF(P56&gt;16200,12,IF(P56&gt;8100,11,IF(P56&gt;4050,10,IF(P56&gt;2025,9,IF(P56&gt;1012,8,IF(P56&gt;506,7,IF(P56&gt;253,6,IF(P56&gt;126,5,IF(P56&gt;63,4,IF(P56&gt;32,3,IF(P56&gt;16,2,IF(P56&gt;8,1,IF(P56&lt;8,0)))))))))))))))),"")</f>
        <v/>
      </c>
      <c r="Q68" s="43" t="str">
        <f aca="false">IF(Q56&lt;&gt;"",IF(Q56&gt;129600,15,IF(Q56&gt;64800,14,IF(Q56&gt;32400,13,IF(Q56&gt;16200,12,IF(Q56&gt;8100,11,IF(Q56&gt;4050,10,IF(Q56&gt;2025,9,IF(Q56&gt;1012,8,IF(Q56&gt;506,7,IF(Q56&gt;253,6,IF(Q56&gt;126,5,IF(Q56&gt;63,4,IF(Q56&gt;32,3,IF(Q56&gt;16,2,IF(Q56&gt;8,1,IF(Q56&lt;8,0)))))))))))))))),"")</f>
        <v/>
      </c>
      <c r="R68" s="43" t="str">
        <f aca="false">IF(R56&lt;&gt;"",IF(R56&gt;129600,15,IF(R56&gt;64800,14,IF(R56&gt;32400,13,IF(R56&gt;16200,12,IF(R56&gt;8100,11,IF(R56&gt;4050,10,IF(R56&gt;2025,9,IF(R56&gt;1012,8,IF(R56&gt;506,7,IF(R56&gt;253,6,IF(R56&gt;126,5,IF(R56&gt;63,4,IF(R56&gt;32,3,IF(R56&gt;16,2,IF(R56&gt;8,1,IF(R56&lt;8,0)))))))))))))))),"")</f>
        <v/>
      </c>
      <c r="S68" s="43" t="str">
        <f aca="false">IF(S56&lt;&gt;"",IF(S56&gt;129600,15,IF(S56&gt;64800,14,IF(S56&gt;32400,13,IF(S56&gt;16200,12,IF(S56&gt;8100,11,IF(S56&gt;4050,10,IF(S56&gt;2025,9,IF(S56&gt;1012,8,IF(S56&gt;506,7,IF(S56&gt;253,6,IF(S56&gt;126,5,IF(S56&gt;63,4,IF(S56&gt;32,3,IF(S56&gt;16,2,IF(S56&gt;8,1,IF(S56&lt;8,0)))))))))))))))),"")</f>
        <v/>
      </c>
      <c r="T68" s="43" t="str">
        <f aca="false">IF(T56&lt;&gt;"",IF(T56&gt;129600,15,IF(T56&gt;64800,14,IF(T56&gt;32400,13,IF(T56&gt;16200,12,IF(T56&gt;8100,11,IF(T56&gt;4050,10,IF(T56&gt;2025,9,IF(T56&gt;1012,8,IF(T56&gt;506,7,IF(T56&gt;253,6,IF(T56&gt;126,5,IF(T56&gt;63,4,IF(T56&gt;32,3,IF(T56&gt;16,2,IF(T56&gt;8,1,IF(T56&lt;8,0)))))))))))))))),"")</f>
        <v/>
      </c>
      <c r="U68" s="43" t="str">
        <f aca="false">IF(U56&lt;&gt;"",IF(U56&gt;129600,15,IF(U56&gt;64800,14,IF(U56&gt;32400,13,IF(U56&gt;16200,12,IF(U56&gt;8100,11,IF(U56&gt;4050,10,IF(U56&gt;2025,9,IF(U56&gt;1012,8,IF(U56&gt;506,7,IF(U56&gt;253,6,IF(U56&gt;126,5,IF(U56&gt;63,4,IF(U56&gt;32,3,IF(U56&gt;16,2,IF(U56&gt;8,1,IF(U56&lt;8,0)))))))))))))))),"")</f>
        <v/>
      </c>
      <c r="V68" s="43" t="str">
        <f aca="false">IF(V56&lt;&gt;"",IF(V56&gt;129600,15,IF(V56&gt;64800,14,IF(V56&gt;32400,13,IF(V56&gt;16200,12,IF(V56&gt;8100,11,IF(V56&gt;4050,10,IF(V56&gt;2025,9,IF(V56&gt;1012,8,IF(V56&gt;506,7,IF(V56&gt;253,6,IF(V56&gt;126,5,IF(V56&gt;63,4,IF(V56&gt;32,3,IF(V56&gt;16,2,IF(V56&gt;8,1,IF(V56&lt;8,0)))))))))))))))),"")</f>
        <v/>
      </c>
      <c r="W68" s="43" t="str">
        <f aca="false">IF(W56&lt;&gt;"",IF(W56&gt;129600,15,IF(W56&gt;64800,14,IF(W56&gt;32400,13,IF(W56&gt;16200,12,IF(W56&gt;8100,11,IF(W56&gt;4050,10,IF(W56&gt;2025,9,IF(W56&gt;1012,8,IF(W56&gt;506,7,IF(W56&gt;253,6,IF(W56&gt;126,5,IF(W56&gt;63,4,IF(W56&gt;32,3,IF(W56&gt;16,2,IF(W56&gt;8,1,IF(W56&lt;8,0)))))))))))))))),"")</f>
        <v/>
      </c>
      <c r="X68" s="43" t="str">
        <f aca="false">IF(X56&lt;&gt;"",IF(X56&gt;129600,15,IF(X56&gt;64800,14,IF(X56&gt;32400,13,IF(X56&gt;16200,12,IF(X56&gt;8100,11,IF(X56&gt;4050,10,IF(X56&gt;2025,9,IF(X56&gt;1012,8,IF(X56&gt;506,7,IF(X56&gt;253,6,IF(X56&gt;126,5,IF(X56&gt;63,4,IF(X56&gt;32,3,IF(X56&gt;16,2,IF(X56&gt;8,1,IF(X56&lt;8,0)))))))))))))))),"")</f>
        <v/>
      </c>
      <c r="Y68" s="43" t="str">
        <f aca="false">IF(Y56&lt;&gt;"",IF(Y56&gt;129600,15,IF(Y56&gt;64800,14,IF(Y56&gt;32400,13,IF(Y56&gt;16200,12,IF(Y56&gt;8100,11,IF(Y56&gt;4050,10,IF(Y56&gt;2025,9,IF(Y56&gt;1012,8,IF(Y56&gt;506,7,IF(Y56&gt;253,6,IF(Y56&gt;126,5,IF(Y56&gt;63,4,IF(Y56&gt;32,3,IF(Y56&gt;16,2,IF(Y56&gt;8,1,IF(Y56&lt;8,0)))))))))))))))),"")</f>
        <v/>
      </c>
      <c r="Z68" s="43" t="str">
        <f aca="false">IF(Z56&lt;&gt;"",IF(Z56&gt;129600,15,IF(Z56&gt;64800,14,IF(Z56&gt;32400,13,IF(Z56&gt;16200,12,IF(Z56&gt;8100,11,IF(Z56&gt;4050,10,IF(Z56&gt;2025,9,IF(Z56&gt;1012,8,IF(Z56&gt;506,7,IF(Z56&gt;253,6,IF(Z56&gt;126,5,IF(Z56&gt;63,4,IF(Z56&gt;32,3,IF(Z56&gt;16,2,IF(Z56&gt;8,1,IF(Z56&lt;8,0)))))))))))))))),"")</f>
        <v/>
      </c>
      <c r="AA68" s="43" t="str">
        <f aca="false">IF(AA56&lt;&gt;"",IF(AA56&gt;129600,15,IF(AA56&gt;64800,14,IF(AA56&gt;32400,13,IF(AA56&gt;16200,12,IF(AA56&gt;8100,11,IF(AA56&gt;4050,10,IF(AA56&gt;2025,9,IF(AA56&gt;1012,8,IF(AA56&gt;506,7,IF(AA56&gt;253,6,IF(AA56&gt;126,5,IF(AA56&gt;63,4,IF(AA56&gt;32,3,IF(AA56&gt;16,2,IF(AA56&gt;8,1,IF(AA56&lt;8,0)))))))))))))))),"")</f>
        <v/>
      </c>
      <c r="AB68" s="43" t="str">
        <f aca="false">IF(AB56&lt;&gt;"",IF(AB56&gt;129600,15,IF(AB56&gt;64800,14,IF(AB56&gt;32400,13,IF(AB56&gt;16200,12,IF(AB56&gt;8100,11,IF(AB56&gt;4050,10,IF(AB56&gt;2025,9,IF(AB56&gt;1012,8,IF(AB56&gt;506,7,IF(AB56&gt;253,6,IF(AB56&gt;126,5,IF(AB56&gt;63,4,IF(AB56&gt;32,3,IF(AB56&gt;16,2,IF(AB56&gt;8,1,IF(AB56&lt;8,0)))))))))))))))),"")</f>
        <v/>
      </c>
      <c r="AC68" s="43" t="str">
        <f aca="false">IF(AC56&lt;&gt;"",IF(AC56&gt;129600,15,IF(AC56&gt;64800,14,IF(AC56&gt;32400,13,IF(AC56&gt;16200,12,IF(AC56&gt;8100,11,IF(AC56&gt;4050,10,IF(AC56&gt;2025,9,IF(AC56&gt;1012,8,IF(AC56&gt;506,7,IF(AC56&gt;253,6,IF(AC56&gt;126,5,IF(AC56&gt;63,4,IF(AC56&gt;32,3,IF(AC56&gt;16,2,IF(AC56&gt;8,1,IF(AC56&lt;8,0)))))))))))))))),"")</f>
        <v/>
      </c>
      <c r="AD68" s="43" t="str">
        <f aca="false">IF(AD56&lt;&gt;"",IF(AD56&gt;129600,15,IF(AD56&gt;64800,14,IF(AD56&gt;32400,13,IF(AD56&gt;16200,12,IF(AD56&gt;8100,11,IF(AD56&gt;4050,10,IF(AD56&gt;2025,9,IF(AD56&gt;1012,8,IF(AD56&gt;506,7,IF(AD56&gt;253,6,IF(AD56&gt;126,5,IF(AD56&gt;63,4,IF(AD56&gt;32,3,IF(AD56&gt;16,2,IF(AD56&gt;8,1,IF(AD56&lt;8,0)))))))))))))))),"")</f>
        <v/>
      </c>
      <c r="AE68" s="43" t="str">
        <f aca="false">IF(AE56&lt;&gt;"",IF(AE56&gt;129600,15,IF(AE56&gt;64800,14,IF(AE56&gt;32400,13,IF(AE56&gt;16200,12,IF(AE56&gt;8100,11,IF(AE56&gt;4050,10,IF(AE56&gt;2025,9,IF(AE56&gt;1012,8,IF(AE56&gt;506,7,IF(AE56&gt;253,6,IF(AE56&gt;126,5,IF(AE56&gt;63,4,IF(AE56&gt;32,3,IF(AE56&gt;16,2,IF(AE56&gt;8,1,IF(AE56&lt;8,0)))))))))))))))),"")</f>
        <v/>
      </c>
      <c r="AF68" s="43" t="str">
        <f aca="false">IF(AF56&lt;&gt;"",IF(AF56&gt;129600,15,IF(AF56&gt;64800,14,IF(AF56&gt;32400,13,IF(AF56&gt;16200,12,IF(AF56&gt;8100,11,IF(AF56&gt;4050,10,IF(AF56&gt;2025,9,IF(AF56&gt;1012,8,IF(AF56&gt;506,7,IF(AF56&gt;253,6,IF(AF56&gt;126,5,IF(AF56&gt;63,4,IF(AF56&gt;32,3,IF(AF56&gt;16,2,IF(AF56&gt;8,1,IF(AF56&lt;8,0)))))))))))))))),"")</f>
        <v/>
      </c>
      <c r="AG68" s="43" t="str">
        <f aca="false">IF(AG56&lt;&gt;"",IF(AG56&gt;129600,15,IF(AG56&gt;64800,14,IF(AG56&gt;32400,13,IF(AG56&gt;16200,12,IF(AG56&gt;8100,11,IF(AG56&gt;4050,10,IF(AG56&gt;2025,9,IF(AG56&gt;1012,8,IF(AG56&gt;506,7,IF(AG56&gt;253,6,IF(AG56&gt;126,5,IF(AG56&gt;63,4,IF(AG56&gt;32,3,IF(AG56&gt;16,2,IF(AG56&gt;8,1,IF(AG56&lt;8,0)))))))))))))))),"")</f>
        <v/>
      </c>
      <c r="AH68" s="43" t="str">
        <f aca="false">IF(AH56&lt;&gt;"",IF(AH56&gt;129600,15,IF(AH56&gt;64800,14,IF(AH56&gt;32400,13,IF(AH56&gt;16200,12,IF(AH56&gt;8100,11,IF(AH56&gt;4050,10,IF(AH56&gt;2025,9,IF(AH56&gt;1012,8,IF(AH56&gt;506,7,IF(AH56&gt;253,6,IF(AH56&gt;126,5,IF(AH56&gt;63,4,IF(AH56&gt;32,3,IF(AH56&gt;16,2,IF(AH56&gt;8,1,IF(AH56&lt;8,0)))))))))))))))),"")</f>
        <v/>
      </c>
      <c r="AI68" s="43" t="str">
        <f aca="false">IF(AI56&lt;&gt;"",IF(AI56&gt;129600,15,IF(AI56&gt;64800,14,IF(AI56&gt;32400,13,IF(AI56&gt;16200,12,IF(AI56&gt;8100,11,IF(AI56&gt;4050,10,IF(AI56&gt;2025,9,IF(AI56&gt;1012,8,IF(AI56&gt;506,7,IF(AI56&gt;253,6,IF(AI56&gt;126,5,IF(AI56&gt;63,4,IF(AI56&gt;32,3,IF(AI56&gt;16,2,IF(AI56&gt;8,1,IF(AI56&lt;8,0)))))))))))))))),"")</f>
        <v/>
      </c>
      <c r="AJ68" s="43" t="str">
        <f aca="false">IF(AJ56&lt;&gt;"",IF(AJ56&gt;129600,15,IF(AJ56&gt;64800,14,IF(AJ56&gt;32400,13,IF(AJ56&gt;16200,12,IF(AJ56&gt;8100,11,IF(AJ56&gt;4050,10,IF(AJ56&gt;2025,9,IF(AJ56&gt;1012,8,IF(AJ56&gt;506,7,IF(AJ56&gt;253,6,IF(AJ56&gt;126,5,IF(AJ56&gt;63,4,IF(AJ56&gt;32,3,IF(AJ56&gt;16,2,IF(AJ56&gt;8,1,IF(AJ56&lt;8,0)))))))))))))))),"")</f>
        <v/>
      </c>
      <c r="AK68" s="44" t="str">
        <f aca="false">IF(AK56&lt;&gt;"",IF(AK56&gt;129600,15,IF(AK56&gt;64800,14,IF(AK56&gt;32400,13,IF(AK56&gt;16200,12,IF(AK56&gt;8100,11,IF(AK56&gt;4050,10,IF(AK56&gt;2025,9,IF(AK56&gt;1012,8,IF(AK56&gt;506,7,IF(AK56&gt;253,6,IF(AK56&gt;126,5,IF(AK56&gt;63,4,IF(AK56&gt;32,3,IF(AK56&gt;16,2,IF(AK56&gt;8,1,IF(AK56&lt;8,0)))))))))))))))),"")</f>
        <v/>
      </c>
      <c r="AL68" s="33"/>
      <c r="AM68" s="34"/>
      <c r="AN68" s="34"/>
      <c r="AO68" s="34"/>
      <c r="AP68" s="34"/>
      <c r="AQ68" s="34"/>
      <c r="AR68" s="40"/>
    </row>
    <row r="69" s="37" customFormat="true" ht="13.8" hidden="false" customHeight="false" outlineLevel="0" collapsed="false">
      <c r="A69" s="31"/>
      <c r="B69" s="36"/>
      <c r="C69" s="37" t="s">
        <v>114</v>
      </c>
      <c r="D69" s="37" t="s">
        <v>133</v>
      </c>
      <c r="E69" s="43" t="str">
        <f aca="false">IF(E57&lt;&gt;"",IF(E57&gt;23040,15,IF(E57&gt;11520,14,IF(E57&gt;5760,13,IF(E57&gt;2880,12,IF(E57&gt;1440,11,IF(E57&gt;720,10,IF(E57&gt;360,9,IF(E57&gt;180,8,IF(E57&gt;90,7,IF(E57&gt;45,6,IF(E57&gt;22,5,IF(E57&gt;11,4,IF(E57&gt;6,3,IF(E57&gt;3,2,IF(E57&gt;2,1,IF(E57&lt;2,0)))))))))))))))),"")</f>
        <v/>
      </c>
      <c r="F69" s="43" t="str">
        <f aca="false">IF(F57&lt;&gt;"",IF(F57&gt;23040,15,IF(F57&gt;11520,14,IF(F57&gt;5760,13,IF(F57&gt;2880,12,IF(F57&gt;1440,11,IF(F57&gt;720,10,IF(F57&gt;360,9,IF(F57&gt;180,8,IF(F57&gt;90,7,IF(F57&gt;45,6,IF(F57&gt;22,5,IF(F57&gt;11,4,IF(F57&gt;6,3,IF(F57&gt;3,2,IF(F57&gt;2,1,IF(F57&lt;2,0)))))))))))))))),"")</f>
        <v/>
      </c>
      <c r="G69" s="43" t="str">
        <f aca="false">IF(G57&lt;&gt;"",IF(G57&gt;23040,15,IF(G57&gt;11520,14,IF(G57&gt;5760,13,IF(G57&gt;2880,12,IF(G57&gt;1440,11,IF(G57&gt;720,10,IF(G57&gt;360,9,IF(G57&gt;180,8,IF(G57&gt;90,7,IF(G57&gt;45,6,IF(G57&gt;22,5,IF(G57&gt;11,4,IF(G57&gt;6,3,IF(G57&gt;3,2,IF(G57&gt;2,1,IF(G57&lt;2,0)))))))))))))))),"")</f>
        <v/>
      </c>
      <c r="H69" s="43" t="str">
        <f aca="false">IF(H57&lt;&gt;"",IF(H57&gt;23040,15,IF(H57&gt;11520,14,IF(H57&gt;5760,13,IF(H57&gt;2880,12,IF(H57&gt;1440,11,IF(H57&gt;720,10,IF(H57&gt;360,9,IF(H57&gt;180,8,IF(H57&gt;90,7,IF(H57&gt;45,6,IF(H57&gt;22,5,IF(H57&gt;11,4,IF(H57&gt;6,3,IF(H57&gt;3,2,IF(H57&gt;2,1,IF(H57&lt;2,0)))))))))))))))),"")</f>
        <v/>
      </c>
      <c r="I69" s="43" t="str">
        <f aca="false">IF(I57&lt;&gt;"",IF(I57&gt;23040,15,IF(I57&gt;11520,14,IF(I57&gt;5760,13,IF(I57&gt;2880,12,IF(I57&gt;1440,11,IF(I57&gt;720,10,IF(I57&gt;360,9,IF(I57&gt;180,8,IF(I57&gt;90,7,IF(I57&gt;45,6,IF(I57&gt;22,5,IF(I57&gt;11,4,IF(I57&gt;6,3,IF(I57&gt;3,2,IF(I57&gt;2,1,IF(I57&lt;2,0)))))))))))))))),"")</f>
        <v/>
      </c>
      <c r="J69" s="43" t="str">
        <f aca="false">IF(J57&lt;&gt;"",IF(J57&gt;23040,15,IF(J57&gt;11520,14,IF(J57&gt;5760,13,IF(J57&gt;2880,12,IF(J57&gt;1440,11,IF(J57&gt;720,10,IF(J57&gt;360,9,IF(J57&gt;180,8,IF(J57&gt;90,7,IF(J57&gt;45,6,IF(J57&gt;22,5,IF(J57&gt;11,4,IF(J57&gt;6,3,IF(J57&gt;3,2,IF(J57&gt;2,1,IF(J57&lt;2,0)))))))))))))))),"")</f>
        <v/>
      </c>
      <c r="K69" s="43" t="str">
        <f aca="false">IF(K57&lt;&gt;"",IF(K57&gt;23040,15,IF(K57&gt;11520,14,IF(K57&gt;5760,13,IF(K57&gt;2880,12,IF(K57&gt;1440,11,IF(K57&gt;720,10,IF(K57&gt;360,9,IF(K57&gt;180,8,IF(K57&gt;90,7,IF(K57&gt;45,6,IF(K57&gt;22,5,IF(K57&gt;11,4,IF(K57&gt;6,3,IF(K57&gt;3,2,IF(K57&gt;2,1,IF(K57&lt;2,0)))))))))))))))),"")</f>
        <v/>
      </c>
      <c r="L69" s="43" t="str">
        <f aca="false">IF(L57&lt;&gt;"",IF(L57&gt;23040,15,IF(L57&gt;11520,14,IF(L57&gt;5760,13,IF(L57&gt;2880,12,IF(L57&gt;1440,11,IF(L57&gt;720,10,IF(L57&gt;360,9,IF(L57&gt;180,8,IF(L57&gt;90,7,IF(L57&gt;45,6,IF(L57&gt;22,5,IF(L57&gt;11,4,IF(L57&gt;6,3,IF(L57&gt;3,2,IF(L57&gt;2,1,IF(L57&lt;2,0)))))))))))))))),"")</f>
        <v/>
      </c>
      <c r="M69" s="43" t="str">
        <f aca="false">IF(M57&lt;&gt;"",IF(M57&gt;23040,15,IF(M57&gt;11520,14,IF(M57&gt;5760,13,IF(M57&gt;2880,12,IF(M57&gt;1440,11,IF(M57&gt;720,10,IF(M57&gt;360,9,IF(M57&gt;180,8,IF(M57&gt;90,7,IF(M57&gt;45,6,IF(M57&gt;22,5,IF(M57&gt;11,4,IF(M57&gt;6,3,IF(M57&gt;3,2,IF(M57&gt;2,1,IF(M57&lt;2,0)))))))))))))))),"")</f>
        <v/>
      </c>
      <c r="N69" s="43" t="str">
        <f aca="false">IF(N57&lt;&gt;"",IF(N57&gt;23040,15,IF(N57&gt;11520,14,IF(N57&gt;5760,13,IF(N57&gt;2880,12,IF(N57&gt;1440,11,IF(N57&gt;720,10,IF(N57&gt;360,9,IF(N57&gt;180,8,IF(N57&gt;90,7,IF(N57&gt;45,6,IF(N57&gt;22,5,IF(N57&gt;11,4,IF(N57&gt;6,3,IF(N57&gt;3,2,IF(N57&gt;2,1,IF(N57&lt;2,0)))))))))))))))),"")</f>
        <v/>
      </c>
      <c r="O69" s="43" t="str">
        <f aca="false">IF(O57&lt;&gt;"",IF(O57&gt;23040,15,IF(O57&gt;11520,14,IF(O57&gt;5760,13,IF(O57&gt;2880,12,IF(O57&gt;1440,11,IF(O57&gt;720,10,IF(O57&gt;360,9,IF(O57&gt;180,8,IF(O57&gt;90,7,IF(O57&gt;45,6,IF(O57&gt;22,5,IF(O57&gt;11,4,IF(O57&gt;6,3,IF(O57&gt;3,2,IF(O57&gt;2,1,IF(O57&lt;2,0)))))))))))))))),"")</f>
        <v/>
      </c>
      <c r="P69" s="43" t="str">
        <f aca="false">IF(P57&lt;&gt;"",IF(P57&gt;23040,15,IF(P57&gt;11520,14,IF(P57&gt;5760,13,IF(P57&gt;2880,12,IF(P57&gt;1440,11,IF(P57&gt;720,10,IF(P57&gt;360,9,IF(P57&gt;180,8,IF(P57&gt;90,7,IF(P57&gt;45,6,IF(P57&gt;22,5,IF(P57&gt;11,4,IF(P57&gt;6,3,IF(P57&gt;3,2,IF(P57&gt;2,1,IF(P57&lt;2,0)))))))))))))))),"")</f>
        <v/>
      </c>
      <c r="Q69" s="43" t="str">
        <f aca="false">IF(Q57&lt;&gt;"",IF(Q57&gt;23040,15,IF(Q57&gt;11520,14,IF(Q57&gt;5760,13,IF(Q57&gt;2880,12,IF(Q57&gt;1440,11,IF(Q57&gt;720,10,IF(Q57&gt;360,9,IF(Q57&gt;180,8,IF(Q57&gt;90,7,IF(Q57&gt;45,6,IF(Q57&gt;22,5,IF(Q57&gt;11,4,IF(Q57&gt;6,3,IF(Q57&gt;3,2,IF(Q57&gt;2,1,IF(Q57&lt;2,0)))))))))))))))),"")</f>
        <v/>
      </c>
      <c r="R69" s="43" t="str">
        <f aca="false">IF(R57&lt;&gt;"",IF(R57&gt;23040,15,IF(R57&gt;11520,14,IF(R57&gt;5760,13,IF(R57&gt;2880,12,IF(R57&gt;1440,11,IF(R57&gt;720,10,IF(R57&gt;360,9,IF(R57&gt;180,8,IF(R57&gt;90,7,IF(R57&gt;45,6,IF(R57&gt;22,5,IF(R57&gt;11,4,IF(R57&gt;6,3,IF(R57&gt;3,2,IF(R57&gt;2,1,IF(R57&lt;2,0)))))))))))))))),"")</f>
        <v/>
      </c>
      <c r="S69" s="43" t="str">
        <f aca="false">IF(S57&lt;&gt;"",IF(S57&gt;23040,15,IF(S57&gt;11520,14,IF(S57&gt;5760,13,IF(S57&gt;2880,12,IF(S57&gt;1440,11,IF(S57&gt;720,10,IF(S57&gt;360,9,IF(S57&gt;180,8,IF(S57&gt;90,7,IF(S57&gt;45,6,IF(S57&gt;22,5,IF(S57&gt;11,4,IF(S57&gt;6,3,IF(S57&gt;3,2,IF(S57&gt;2,1,IF(S57&lt;2,0)))))))))))))))),"")</f>
        <v/>
      </c>
      <c r="T69" s="43" t="str">
        <f aca="false">IF(T57&lt;&gt;"",IF(T57&gt;23040,15,IF(T57&gt;11520,14,IF(T57&gt;5760,13,IF(T57&gt;2880,12,IF(T57&gt;1440,11,IF(T57&gt;720,10,IF(T57&gt;360,9,IF(T57&gt;180,8,IF(T57&gt;90,7,IF(T57&gt;45,6,IF(T57&gt;22,5,IF(T57&gt;11,4,IF(T57&gt;6,3,IF(T57&gt;3,2,IF(T57&gt;2,1,IF(T57&lt;2,0)))))))))))))))),"")</f>
        <v/>
      </c>
      <c r="U69" s="43" t="str">
        <f aca="false">IF(U57&lt;&gt;"",IF(U57&gt;23040,15,IF(U57&gt;11520,14,IF(U57&gt;5760,13,IF(U57&gt;2880,12,IF(U57&gt;1440,11,IF(U57&gt;720,10,IF(U57&gt;360,9,IF(U57&gt;180,8,IF(U57&gt;90,7,IF(U57&gt;45,6,IF(U57&gt;22,5,IF(U57&gt;11,4,IF(U57&gt;6,3,IF(U57&gt;3,2,IF(U57&gt;2,1,IF(U57&lt;2,0)))))))))))))))),"")</f>
        <v/>
      </c>
      <c r="V69" s="43" t="str">
        <f aca="false">IF(V57&lt;&gt;"",IF(V57&gt;23040,15,IF(V57&gt;11520,14,IF(V57&gt;5760,13,IF(V57&gt;2880,12,IF(V57&gt;1440,11,IF(V57&gt;720,10,IF(V57&gt;360,9,IF(V57&gt;180,8,IF(V57&gt;90,7,IF(V57&gt;45,6,IF(V57&gt;22,5,IF(V57&gt;11,4,IF(V57&gt;6,3,IF(V57&gt;3,2,IF(V57&gt;2,1,IF(V57&lt;2,0)))))))))))))))),"")</f>
        <v/>
      </c>
      <c r="W69" s="43" t="str">
        <f aca="false">IF(W57&lt;&gt;"",IF(W57&gt;23040,15,IF(W57&gt;11520,14,IF(W57&gt;5760,13,IF(W57&gt;2880,12,IF(W57&gt;1440,11,IF(W57&gt;720,10,IF(W57&gt;360,9,IF(W57&gt;180,8,IF(W57&gt;90,7,IF(W57&gt;45,6,IF(W57&gt;22,5,IF(W57&gt;11,4,IF(W57&gt;6,3,IF(W57&gt;3,2,IF(W57&gt;2,1,IF(W57&lt;2,0)))))))))))))))),"")</f>
        <v/>
      </c>
      <c r="X69" s="43" t="str">
        <f aca="false">IF(X57&lt;&gt;"",IF(X57&gt;23040,15,IF(X57&gt;11520,14,IF(X57&gt;5760,13,IF(X57&gt;2880,12,IF(X57&gt;1440,11,IF(X57&gt;720,10,IF(X57&gt;360,9,IF(X57&gt;180,8,IF(X57&gt;90,7,IF(X57&gt;45,6,IF(X57&gt;22,5,IF(X57&gt;11,4,IF(X57&gt;6,3,IF(X57&gt;3,2,IF(X57&gt;2,1,IF(X57&lt;2,0)))))))))))))))),"")</f>
        <v/>
      </c>
      <c r="Y69" s="43" t="str">
        <f aca="false">IF(Y57&lt;&gt;"",IF(Y57&gt;23040,15,IF(Y57&gt;11520,14,IF(Y57&gt;5760,13,IF(Y57&gt;2880,12,IF(Y57&gt;1440,11,IF(Y57&gt;720,10,IF(Y57&gt;360,9,IF(Y57&gt;180,8,IF(Y57&gt;90,7,IF(Y57&gt;45,6,IF(Y57&gt;22,5,IF(Y57&gt;11,4,IF(Y57&gt;6,3,IF(Y57&gt;3,2,IF(Y57&gt;2,1,IF(Y57&lt;2,0)))))))))))))))),"")</f>
        <v/>
      </c>
      <c r="Z69" s="43" t="str">
        <f aca="false">IF(Z57&lt;&gt;"",IF(Z57&gt;23040,15,IF(Z57&gt;11520,14,IF(Z57&gt;5760,13,IF(Z57&gt;2880,12,IF(Z57&gt;1440,11,IF(Z57&gt;720,10,IF(Z57&gt;360,9,IF(Z57&gt;180,8,IF(Z57&gt;90,7,IF(Z57&gt;45,6,IF(Z57&gt;22,5,IF(Z57&gt;11,4,IF(Z57&gt;6,3,IF(Z57&gt;3,2,IF(Z57&gt;2,1,IF(Z57&lt;2,0)))))))))))))))),"")</f>
        <v/>
      </c>
      <c r="AA69" s="43" t="str">
        <f aca="false">IF(AA57&lt;&gt;"",IF(AA57&gt;23040,15,IF(AA57&gt;11520,14,IF(AA57&gt;5760,13,IF(AA57&gt;2880,12,IF(AA57&gt;1440,11,IF(AA57&gt;720,10,IF(AA57&gt;360,9,IF(AA57&gt;180,8,IF(AA57&gt;90,7,IF(AA57&gt;45,6,IF(AA57&gt;22,5,IF(AA57&gt;11,4,IF(AA57&gt;6,3,IF(AA57&gt;3,2,IF(AA57&gt;2,1,IF(AA57&lt;2,0)))))))))))))))),"")</f>
        <v/>
      </c>
      <c r="AB69" s="43" t="str">
        <f aca="false">IF(AB57&lt;&gt;"",IF(AB57&gt;23040,15,IF(AB57&gt;11520,14,IF(AB57&gt;5760,13,IF(AB57&gt;2880,12,IF(AB57&gt;1440,11,IF(AB57&gt;720,10,IF(AB57&gt;360,9,IF(AB57&gt;180,8,IF(AB57&gt;90,7,IF(AB57&gt;45,6,IF(AB57&gt;22,5,IF(AB57&gt;11,4,IF(AB57&gt;6,3,IF(AB57&gt;3,2,IF(AB57&gt;2,1,IF(AB57&lt;2,0)))))))))))))))),"")</f>
        <v/>
      </c>
      <c r="AC69" s="43" t="str">
        <f aca="false">IF(AC57&lt;&gt;"",IF(AC57&gt;23040,15,IF(AC57&gt;11520,14,IF(AC57&gt;5760,13,IF(AC57&gt;2880,12,IF(AC57&gt;1440,11,IF(AC57&gt;720,10,IF(AC57&gt;360,9,IF(AC57&gt;180,8,IF(AC57&gt;90,7,IF(AC57&gt;45,6,IF(AC57&gt;22,5,IF(AC57&gt;11,4,IF(AC57&gt;6,3,IF(AC57&gt;3,2,IF(AC57&gt;2,1,IF(AC57&lt;2,0)))))))))))))))),"")</f>
        <v/>
      </c>
      <c r="AD69" s="43" t="str">
        <f aca="false">IF(AD57&lt;&gt;"",IF(AD57&gt;23040,15,IF(AD57&gt;11520,14,IF(AD57&gt;5760,13,IF(AD57&gt;2880,12,IF(AD57&gt;1440,11,IF(AD57&gt;720,10,IF(AD57&gt;360,9,IF(AD57&gt;180,8,IF(AD57&gt;90,7,IF(AD57&gt;45,6,IF(AD57&gt;22,5,IF(AD57&gt;11,4,IF(AD57&gt;6,3,IF(AD57&gt;3,2,IF(AD57&gt;2,1,IF(AD57&lt;2,0)))))))))))))))),"")</f>
        <v/>
      </c>
      <c r="AE69" s="43" t="str">
        <f aca="false">IF(AE57&lt;&gt;"",IF(AE57&gt;23040,15,IF(AE57&gt;11520,14,IF(AE57&gt;5760,13,IF(AE57&gt;2880,12,IF(AE57&gt;1440,11,IF(AE57&gt;720,10,IF(AE57&gt;360,9,IF(AE57&gt;180,8,IF(AE57&gt;90,7,IF(AE57&gt;45,6,IF(AE57&gt;22,5,IF(AE57&gt;11,4,IF(AE57&gt;6,3,IF(AE57&gt;3,2,IF(AE57&gt;2,1,IF(AE57&lt;2,0)))))))))))))))),"")</f>
        <v/>
      </c>
      <c r="AF69" s="43" t="str">
        <f aca="false">IF(AF57&lt;&gt;"",IF(AF57&gt;23040,15,IF(AF57&gt;11520,14,IF(AF57&gt;5760,13,IF(AF57&gt;2880,12,IF(AF57&gt;1440,11,IF(AF57&gt;720,10,IF(AF57&gt;360,9,IF(AF57&gt;180,8,IF(AF57&gt;90,7,IF(AF57&gt;45,6,IF(AF57&gt;22,5,IF(AF57&gt;11,4,IF(AF57&gt;6,3,IF(AF57&gt;3,2,IF(AF57&gt;2,1,IF(AF57&lt;2,0)))))))))))))))),"")</f>
        <v/>
      </c>
      <c r="AG69" s="43" t="str">
        <f aca="false">IF(AG57&lt;&gt;"",IF(AG57&gt;23040,15,IF(AG57&gt;11520,14,IF(AG57&gt;5760,13,IF(AG57&gt;2880,12,IF(AG57&gt;1440,11,IF(AG57&gt;720,10,IF(AG57&gt;360,9,IF(AG57&gt;180,8,IF(AG57&gt;90,7,IF(AG57&gt;45,6,IF(AG57&gt;22,5,IF(AG57&gt;11,4,IF(AG57&gt;6,3,IF(AG57&gt;3,2,IF(AG57&gt;2,1,IF(AG57&lt;2,0)))))))))))))))),"")</f>
        <v/>
      </c>
      <c r="AH69" s="43" t="str">
        <f aca="false">IF(AH57&lt;&gt;"",IF(AH57&gt;23040,15,IF(AH57&gt;11520,14,IF(AH57&gt;5760,13,IF(AH57&gt;2880,12,IF(AH57&gt;1440,11,IF(AH57&gt;720,10,IF(AH57&gt;360,9,IF(AH57&gt;180,8,IF(AH57&gt;90,7,IF(AH57&gt;45,6,IF(AH57&gt;22,5,IF(AH57&gt;11,4,IF(AH57&gt;6,3,IF(AH57&gt;3,2,IF(AH57&gt;2,1,IF(AH57&lt;2,0)))))))))))))))),"")</f>
        <v/>
      </c>
      <c r="AI69" s="43" t="str">
        <f aca="false">IF(AI57&lt;&gt;"",IF(AI57&gt;23040,15,IF(AI57&gt;11520,14,IF(AI57&gt;5760,13,IF(AI57&gt;2880,12,IF(AI57&gt;1440,11,IF(AI57&gt;720,10,IF(AI57&gt;360,9,IF(AI57&gt;180,8,IF(AI57&gt;90,7,IF(AI57&gt;45,6,IF(AI57&gt;22,5,IF(AI57&gt;11,4,IF(AI57&gt;6,3,IF(AI57&gt;3,2,IF(AI57&gt;2,1,IF(AI57&lt;2,0)))))))))))))))),"")</f>
        <v/>
      </c>
      <c r="AJ69" s="43" t="str">
        <f aca="false">IF(AJ57&lt;&gt;"",IF(AJ57&gt;23040,15,IF(AJ57&gt;11520,14,IF(AJ57&gt;5760,13,IF(AJ57&gt;2880,12,IF(AJ57&gt;1440,11,IF(AJ57&gt;720,10,IF(AJ57&gt;360,9,IF(AJ57&gt;180,8,IF(AJ57&gt;90,7,IF(AJ57&gt;45,6,IF(AJ57&gt;22,5,IF(AJ57&gt;11,4,IF(AJ57&gt;6,3,IF(AJ57&gt;3,2,IF(AJ57&gt;2,1,IF(AJ57&lt;2,0)))))))))))))))),"")</f>
        <v/>
      </c>
      <c r="AK69" s="44" t="str">
        <f aca="false">IF(AK57&lt;&gt;"",IF(AK57&gt;23040,15,IF(AK57&gt;11520,14,IF(AK57&gt;5760,13,IF(AK57&gt;2880,12,IF(AK57&gt;1440,11,IF(AK57&gt;720,10,IF(AK57&gt;360,9,IF(AK57&gt;180,8,IF(AK57&gt;90,7,IF(AK57&gt;45,6,IF(AK57&gt;22,5,IF(AK57&gt;11,4,IF(AK57&gt;6,3,IF(AK57&gt;3,2,IF(AK57&gt;2,1,IF(AK57&lt;2,0)))))))))))))))),"")</f>
        <v/>
      </c>
      <c r="AL69" s="33"/>
      <c r="AM69" s="34"/>
      <c r="AN69" s="34"/>
      <c r="AO69" s="34"/>
      <c r="AP69" s="34"/>
      <c r="AQ69" s="34"/>
      <c r="AR69" s="40"/>
    </row>
    <row r="70" s="37" customFormat="true" ht="13.8" hidden="false" customHeight="false" outlineLevel="0" collapsed="false">
      <c r="A70" s="31"/>
      <c r="B70" s="36"/>
      <c r="C70" s="37" t="s">
        <v>116</v>
      </c>
      <c r="D70" s="37" t="s">
        <v>134</v>
      </c>
      <c r="E70" s="43" t="str">
        <f aca="false">IF(E58&lt;&gt;"",IF(E58&gt;4096,15,IF(E58&gt;2048,14,IF(E58&gt;1024,13,IF(E58&gt;512,12,IF(E58&gt;256,11,IF(E58&gt;128,10,IF(E58&gt;64,9,IF(E58&gt;32,8,IF(E58&gt;16,7,IF(E58&gt;8,6,IF(E58&gt;4,5,IF(E58&gt;2,4,IF(E58&gt;1,3,IF(E58=1,1,IF(E58=0,0))))))))))))))),"")</f>
        <v/>
      </c>
      <c r="F70" s="43" t="str">
        <f aca="false">IF(F58&lt;&gt;"",IF(F58&gt;4096,15,IF(F58&gt;2048,14,IF(F58&gt;1024,13,IF(F58&gt;512,12,IF(F58&gt;256,11,IF(F58&gt;128,10,IF(F58&gt;64,9,IF(F58&gt;32,8,IF(F58&gt;16,7,IF(F58&gt;8,6,IF(F58&gt;4,5,IF(F58&gt;2,4,IF(F58&gt;1,3,IF(F58=1,1,IF(F58=0,0))))))))))))))),"")</f>
        <v/>
      </c>
      <c r="G70" s="43" t="str">
        <f aca="false">IF(G58&lt;&gt;"",IF(G58&gt;4096,15,IF(G58&gt;2048,14,IF(G58&gt;1024,13,IF(G58&gt;512,12,IF(G58&gt;256,11,IF(G58&gt;128,10,IF(G58&gt;64,9,IF(G58&gt;32,8,IF(G58&gt;16,7,IF(G58&gt;8,6,IF(G58&gt;4,5,IF(G58&gt;2,4,IF(G58&gt;1,3,IF(G58=1,1,IF(G58=0,0))))))))))))))),"")</f>
        <v/>
      </c>
      <c r="H70" s="43" t="str">
        <f aca="false">IF(H58&lt;&gt;"",IF(H58&gt;4096,15,IF(H58&gt;2048,14,IF(H58&gt;1024,13,IF(H58&gt;512,12,IF(H58&gt;256,11,IF(H58&gt;128,10,IF(H58&gt;64,9,IF(H58&gt;32,8,IF(H58&gt;16,7,IF(H58&gt;8,6,IF(H58&gt;4,5,IF(H58&gt;2,4,IF(H58&gt;1,3,IF(H58=1,1,IF(H58=0,0))))))))))))))),"")</f>
        <v/>
      </c>
      <c r="I70" s="43" t="str">
        <f aca="false">IF(I58&lt;&gt;"",IF(I58&gt;4096,15,IF(I58&gt;2048,14,IF(I58&gt;1024,13,IF(I58&gt;512,12,IF(I58&gt;256,11,IF(I58&gt;128,10,IF(I58&gt;64,9,IF(I58&gt;32,8,IF(I58&gt;16,7,IF(I58&gt;8,6,IF(I58&gt;4,5,IF(I58&gt;2,4,IF(I58&gt;1,3,IF(I58=1,1,IF(I58=0,0))))))))))))))),"")</f>
        <v/>
      </c>
      <c r="J70" s="43" t="str">
        <f aca="false">IF(J58&lt;&gt;"",IF(J58&gt;4096,15,IF(J58&gt;2048,14,IF(J58&gt;1024,13,IF(J58&gt;512,12,IF(J58&gt;256,11,IF(J58&gt;128,10,IF(J58&gt;64,9,IF(J58&gt;32,8,IF(J58&gt;16,7,IF(J58&gt;8,6,IF(J58&gt;4,5,IF(J58&gt;2,4,IF(J58&gt;1,3,IF(J58=1,1,IF(J58=0,0))))))))))))))),"")</f>
        <v/>
      </c>
      <c r="K70" s="43" t="str">
        <f aca="false">IF(K58&lt;&gt;"",IF(K58&gt;4096,15,IF(K58&gt;2048,14,IF(K58&gt;1024,13,IF(K58&gt;512,12,IF(K58&gt;256,11,IF(K58&gt;128,10,IF(K58&gt;64,9,IF(K58&gt;32,8,IF(K58&gt;16,7,IF(K58&gt;8,6,IF(K58&gt;4,5,IF(K58&gt;2,4,IF(K58&gt;1,3,IF(K58=1,1,IF(K58=0,0))))))))))))))),"")</f>
        <v/>
      </c>
      <c r="L70" s="43" t="str">
        <f aca="false">IF(L58&lt;&gt;"",IF(L58&gt;4096,15,IF(L58&gt;2048,14,IF(L58&gt;1024,13,IF(L58&gt;512,12,IF(L58&gt;256,11,IF(L58&gt;128,10,IF(L58&gt;64,9,IF(L58&gt;32,8,IF(L58&gt;16,7,IF(L58&gt;8,6,IF(L58&gt;4,5,IF(L58&gt;2,4,IF(L58&gt;1,3,IF(L58=1,1,IF(L58=0,0))))))))))))))),"")</f>
        <v/>
      </c>
      <c r="M70" s="43" t="str">
        <f aca="false">IF(M58&lt;&gt;"",IF(M58&gt;4096,15,IF(M58&gt;2048,14,IF(M58&gt;1024,13,IF(M58&gt;512,12,IF(M58&gt;256,11,IF(M58&gt;128,10,IF(M58&gt;64,9,IF(M58&gt;32,8,IF(M58&gt;16,7,IF(M58&gt;8,6,IF(M58&gt;4,5,IF(M58&gt;2,4,IF(M58&gt;1,3,IF(M58=1,1,IF(M58=0,0))))))))))))))),"")</f>
        <v/>
      </c>
      <c r="N70" s="43" t="str">
        <f aca="false">IF(N58&lt;&gt;"",IF(N58&gt;4096,15,IF(N58&gt;2048,14,IF(N58&gt;1024,13,IF(N58&gt;512,12,IF(N58&gt;256,11,IF(N58&gt;128,10,IF(N58&gt;64,9,IF(N58&gt;32,8,IF(N58&gt;16,7,IF(N58&gt;8,6,IF(N58&gt;4,5,IF(N58&gt;2,4,IF(N58&gt;1,3,IF(N58=1,1,IF(N58=0,0))))))))))))))),"")</f>
        <v/>
      </c>
      <c r="O70" s="43" t="str">
        <f aca="false">IF(O58&lt;&gt;"",IF(O58&gt;4096,15,IF(O58&gt;2048,14,IF(O58&gt;1024,13,IF(O58&gt;512,12,IF(O58&gt;256,11,IF(O58&gt;128,10,IF(O58&gt;64,9,IF(O58&gt;32,8,IF(O58&gt;16,7,IF(O58&gt;8,6,IF(O58&gt;4,5,IF(O58&gt;2,4,IF(O58&gt;1,3,IF(O58=1,1,IF(O58=0,0))))))))))))))),"")</f>
        <v/>
      </c>
      <c r="P70" s="43" t="str">
        <f aca="false">IF(P58&lt;&gt;"",IF(P58&gt;4096,15,IF(P58&gt;2048,14,IF(P58&gt;1024,13,IF(P58&gt;512,12,IF(P58&gt;256,11,IF(P58&gt;128,10,IF(P58&gt;64,9,IF(P58&gt;32,8,IF(P58&gt;16,7,IF(P58&gt;8,6,IF(P58&gt;4,5,IF(P58&gt;2,4,IF(P58&gt;1,3,IF(P58=1,1,IF(P58=0,0))))))))))))))),"")</f>
        <v/>
      </c>
      <c r="Q70" s="43" t="str">
        <f aca="false">IF(Q58&lt;&gt;"",IF(Q58&gt;4096,15,IF(Q58&gt;2048,14,IF(Q58&gt;1024,13,IF(Q58&gt;512,12,IF(Q58&gt;256,11,IF(Q58&gt;128,10,IF(Q58&gt;64,9,IF(Q58&gt;32,8,IF(Q58&gt;16,7,IF(Q58&gt;8,6,IF(Q58&gt;4,5,IF(Q58&gt;2,4,IF(Q58&gt;1,3,IF(Q58=1,1,IF(Q58=0,0))))))))))))))),"")</f>
        <v/>
      </c>
      <c r="R70" s="43" t="str">
        <f aca="false">IF(R58&lt;&gt;"",IF(R58&gt;4096,15,IF(R58&gt;2048,14,IF(R58&gt;1024,13,IF(R58&gt;512,12,IF(R58&gt;256,11,IF(R58&gt;128,10,IF(R58&gt;64,9,IF(R58&gt;32,8,IF(R58&gt;16,7,IF(R58&gt;8,6,IF(R58&gt;4,5,IF(R58&gt;2,4,IF(R58&gt;1,3,IF(R58=1,1,IF(R58=0,0))))))))))))))),"")</f>
        <v/>
      </c>
      <c r="S70" s="43" t="str">
        <f aca="false">IF(S58&lt;&gt;"",IF(S58&gt;4096,15,IF(S58&gt;2048,14,IF(S58&gt;1024,13,IF(S58&gt;512,12,IF(S58&gt;256,11,IF(S58&gt;128,10,IF(S58&gt;64,9,IF(S58&gt;32,8,IF(S58&gt;16,7,IF(S58&gt;8,6,IF(S58&gt;4,5,IF(S58&gt;2,4,IF(S58&gt;1,3,IF(S58=1,1,IF(S58=0,0))))))))))))))),"")</f>
        <v/>
      </c>
      <c r="T70" s="43" t="str">
        <f aca="false">IF(T58&lt;&gt;"",IF(T58&gt;4096,15,IF(T58&gt;2048,14,IF(T58&gt;1024,13,IF(T58&gt;512,12,IF(T58&gt;256,11,IF(T58&gt;128,10,IF(T58&gt;64,9,IF(T58&gt;32,8,IF(T58&gt;16,7,IF(T58&gt;8,6,IF(T58&gt;4,5,IF(T58&gt;2,4,IF(T58&gt;1,3,IF(T58=1,1,IF(T58=0,0))))))))))))))),"")</f>
        <v/>
      </c>
      <c r="U70" s="43" t="str">
        <f aca="false">IF(U58&lt;&gt;"",IF(U58&gt;4096,15,IF(U58&gt;2048,14,IF(U58&gt;1024,13,IF(U58&gt;512,12,IF(U58&gt;256,11,IF(U58&gt;128,10,IF(U58&gt;64,9,IF(U58&gt;32,8,IF(U58&gt;16,7,IF(U58&gt;8,6,IF(U58&gt;4,5,IF(U58&gt;2,4,IF(U58&gt;1,3,IF(U58=1,1,IF(U58=0,0))))))))))))))),"")</f>
        <v/>
      </c>
      <c r="V70" s="43" t="str">
        <f aca="false">IF(V58&lt;&gt;"",IF(V58&gt;4096,15,IF(V58&gt;2048,14,IF(V58&gt;1024,13,IF(V58&gt;512,12,IF(V58&gt;256,11,IF(V58&gt;128,10,IF(V58&gt;64,9,IF(V58&gt;32,8,IF(V58&gt;16,7,IF(V58&gt;8,6,IF(V58&gt;4,5,IF(V58&gt;2,4,IF(V58&gt;1,3,IF(V58=1,1,IF(V58=0,0))))))))))))))),"")</f>
        <v/>
      </c>
      <c r="W70" s="43" t="str">
        <f aca="false">IF(W58&lt;&gt;"",IF(W58&gt;4096,15,IF(W58&gt;2048,14,IF(W58&gt;1024,13,IF(W58&gt;512,12,IF(W58&gt;256,11,IF(W58&gt;128,10,IF(W58&gt;64,9,IF(W58&gt;32,8,IF(W58&gt;16,7,IF(W58&gt;8,6,IF(W58&gt;4,5,IF(W58&gt;2,4,IF(W58&gt;1,3,IF(W58=1,1,IF(W58=0,0))))))))))))))),"")</f>
        <v/>
      </c>
      <c r="X70" s="43" t="str">
        <f aca="false">IF(X58&lt;&gt;"",IF(X58&gt;4096,15,IF(X58&gt;2048,14,IF(X58&gt;1024,13,IF(X58&gt;512,12,IF(X58&gt;256,11,IF(X58&gt;128,10,IF(X58&gt;64,9,IF(X58&gt;32,8,IF(X58&gt;16,7,IF(X58&gt;8,6,IF(X58&gt;4,5,IF(X58&gt;2,4,IF(X58&gt;1,3,IF(X58=1,1,IF(X58=0,0))))))))))))))),"")</f>
        <v/>
      </c>
      <c r="Y70" s="43" t="str">
        <f aca="false">IF(Y58&lt;&gt;"",IF(Y58&gt;4096,15,IF(Y58&gt;2048,14,IF(Y58&gt;1024,13,IF(Y58&gt;512,12,IF(Y58&gt;256,11,IF(Y58&gt;128,10,IF(Y58&gt;64,9,IF(Y58&gt;32,8,IF(Y58&gt;16,7,IF(Y58&gt;8,6,IF(Y58&gt;4,5,IF(Y58&gt;2,4,IF(Y58&gt;1,3,IF(Y58=1,1,IF(Y58=0,0))))))))))))))),"")</f>
        <v/>
      </c>
      <c r="Z70" s="43" t="str">
        <f aca="false">IF(Z58&lt;&gt;"",IF(Z58&gt;4096,15,IF(Z58&gt;2048,14,IF(Z58&gt;1024,13,IF(Z58&gt;512,12,IF(Z58&gt;256,11,IF(Z58&gt;128,10,IF(Z58&gt;64,9,IF(Z58&gt;32,8,IF(Z58&gt;16,7,IF(Z58&gt;8,6,IF(Z58&gt;4,5,IF(Z58&gt;2,4,IF(Z58&gt;1,3,IF(Z58=1,1,IF(Z58=0,0))))))))))))))),"")</f>
        <v/>
      </c>
      <c r="AA70" s="43" t="str">
        <f aca="false">IF(AA58&lt;&gt;"",IF(AA58&gt;4096,15,IF(AA58&gt;2048,14,IF(AA58&gt;1024,13,IF(AA58&gt;512,12,IF(AA58&gt;256,11,IF(AA58&gt;128,10,IF(AA58&gt;64,9,IF(AA58&gt;32,8,IF(AA58&gt;16,7,IF(AA58&gt;8,6,IF(AA58&gt;4,5,IF(AA58&gt;2,4,IF(AA58&gt;1,3,IF(AA58=1,1,IF(AA58=0,0))))))))))))))),"")</f>
        <v/>
      </c>
      <c r="AB70" s="43" t="str">
        <f aca="false">IF(AB58&lt;&gt;"",IF(AB58&gt;4096,15,IF(AB58&gt;2048,14,IF(AB58&gt;1024,13,IF(AB58&gt;512,12,IF(AB58&gt;256,11,IF(AB58&gt;128,10,IF(AB58&gt;64,9,IF(AB58&gt;32,8,IF(AB58&gt;16,7,IF(AB58&gt;8,6,IF(AB58&gt;4,5,IF(AB58&gt;2,4,IF(AB58&gt;1,3,IF(AB58=1,1,IF(AB58=0,0))))))))))))))),"")</f>
        <v/>
      </c>
      <c r="AC70" s="43" t="str">
        <f aca="false">IF(AC58&lt;&gt;"",IF(AC58&gt;4096,15,IF(AC58&gt;2048,14,IF(AC58&gt;1024,13,IF(AC58&gt;512,12,IF(AC58&gt;256,11,IF(AC58&gt;128,10,IF(AC58&gt;64,9,IF(AC58&gt;32,8,IF(AC58&gt;16,7,IF(AC58&gt;8,6,IF(AC58&gt;4,5,IF(AC58&gt;2,4,IF(AC58&gt;1,3,IF(AC58=1,1,IF(AC58=0,0))))))))))))))),"")</f>
        <v/>
      </c>
      <c r="AD70" s="43" t="str">
        <f aca="false">IF(AD58&lt;&gt;"",IF(AD58&gt;4096,15,IF(AD58&gt;2048,14,IF(AD58&gt;1024,13,IF(AD58&gt;512,12,IF(AD58&gt;256,11,IF(AD58&gt;128,10,IF(AD58&gt;64,9,IF(AD58&gt;32,8,IF(AD58&gt;16,7,IF(AD58&gt;8,6,IF(AD58&gt;4,5,IF(AD58&gt;2,4,IF(AD58&gt;1,3,IF(AD58=1,1,IF(AD58=0,0))))))))))))))),"")</f>
        <v/>
      </c>
      <c r="AE70" s="43" t="str">
        <f aca="false">IF(AE58&lt;&gt;"",IF(AE58&gt;4096,15,IF(AE58&gt;2048,14,IF(AE58&gt;1024,13,IF(AE58&gt;512,12,IF(AE58&gt;256,11,IF(AE58&gt;128,10,IF(AE58&gt;64,9,IF(AE58&gt;32,8,IF(AE58&gt;16,7,IF(AE58&gt;8,6,IF(AE58&gt;4,5,IF(AE58&gt;2,4,IF(AE58&gt;1,3,IF(AE58=1,1,IF(AE58=0,0))))))))))))))),"")</f>
        <v/>
      </c>
      <c r="AF70" s="43" t="str">
        <f aca="false">IF(AF58&lt;&gt;"",IF(AF58&gt;4096,15,IF(AF58&gt;2048,14,IF(AF58&gt;1024,13,IF(AF58&gt;512,12,IF(AF58&gt;256,11,IF(AF58&gt;128,10,IF(AF58&gt;64,9,IF(AF58&gt;32,8,IF(AF58&gt;16,7,IF(AF58&gt;8,6,IF(AF58&gt;4,5,IF(AF58&gt;2,4,IF(AF58&gt;1,3,IF(AF58=1,1,IF(AF58=0,0))))))))))))))),"")</f>
        <v/>
      </c>
      <c r="AG70" s="43" t="str">
        <f aca="false">IF(AG58&lt;&gt;"",IF(AG58&gt;4096,15,IF(AG58&gt;2048,14,IF(AG58&gt;1024,13,IF(AG58&gt;512,12,IF(AG58&gt;256,11,IF(AG58&gt;128,10,IF(AG58&gt;64,9,IF(AG58&gt;32,8,IF(AG58&gt;16,7,IF(AG58&gt;8,6,IF(AG58&gt;4,5,IF(AG58&gt;2,4,IF(AG58&gt;1,3,IF(AG58=1,1,IF(AG58=0,0))))))))))))))),"")</f>
        <v/>
      </c>
      <c r="AH70" s="43" t="str">
        <f aca="false">IF(AH58&lt;&gt;"",IF(AH58&gt;4096,15,IF(AH58&gt;2048,14,IF(AH58&gt;1024,13,IF(AH58&gt;512,12,IF(AH58&gt;256,11,IF(AH58&gt;128,10,IF(AH58&gt;64,9,IF(AH58&gt;32,8,IF(AH58&gt;16,7,IF(AH58&gt;8,6,IF(AH58&gt;4,5,IF(AH58&gt;2,4,IF(AH58&gt;1,3,IF(AH58=1,1,IF(AH58=0,0))))))))))))))),"")</f>
        <v/>
      </c>
      <c r="AI70" s="43" t="str">
        <f aca="false">IF(AI58&lt;&gt;"",IF(AI58&gt;4096,15,IF(AI58&gt;2048,14,IF(AI58&gt;1024,13,IF(AI58&gt;512,12,IF(AI58&gt;256,11,IF(AI58&gt;128,10,IF(AI58&gt;64,9,IF(AI58&gt;32,8,IF(AI58&gt;16,7,IF(AI58&gt;8,6,IF(AI58&gt;4,5,IF(AI58&gt;2,4,IF(AI58&gt;1,3,IF(AI58=1,1,IF(AI58=0,0))))))))))))))),"")</f>
        <v/>
      </c>
      <c r="AJ70" s="43" t="str">
        <f aca="false">IF(AJ58&lt;&gt;"",IF(AJ58&gt;4096,15,IF(AJ58&gt;2048,14,IF(AJ58&gt;1024,13,IF(AJ58&gt;512,12,IF(AJ58&gt;256,11,IF(AJ58&gt;128,10,IF(AJ58&gt;64,9,IF(AJ58&gt;32,8,IF(AJ58&gt;16,7,IF(AJ58&gt;8,6,IF(AJ58&gt;4,5,IF(AJ58&gt;2,4,IF(AJ58&gt;1,3,IF(AJ58=1,1,IF(AJ58=0,0))))))))))))))),"")</f>
        <v/>
      </c>
      <c r="AK70" s="44" t="str">
        <f aca="false">IF(AK58&lt;&gt;"",IF(AK58&gt;4096,15,IF(AK58&gt;2048,14,IF(AK58&gt;1024,13,IF(AK58&gt;512,12,IF(AK58&gt;256,11,IF(AK58&gt;128,10,IF(AK58&gt;64,9,IF(AK58&gt;32,8,IF(AK58&gt;16,7,IF(AK58&gt;8,6,IF(AK58&gt;4,5,IF(AK58&gt;2,4,IF(AK58&gt;1,3,IF(AK58=1,1,IF(AK58=0,0))))))))))))))),"")</f>
        <v/>
      </c>
      <c r="AL70" s="33"/>
      <c r="AM70" s="34"/>
      <c r="AN70" s="34"/>
      <c r="AO70" s="34"/>
      <c r="AP70" s="34"/>
      <c r="AQ70" s="34"/>
      <c r="AR70" s="40"/>
    </row>
    <row r="71" s="37" customFormat="true" ht="13.8" hidden="false" customHeight="false" outlineLevel="0" collapsed="false">
      <c r="A71" s="31"/>
      <c r="B71" s="36"/>
      <c r="C71" s="37" t="s">
        <v>135</v>
      </c>
      <c r="D71" s="45" t="s">
        <v>136</v>
      </c>
      <c r="E71" s="46" t="str">
        <f aca="false">IF(E59&lt;&gt;"",MAX(E65:E70),"")</f>
        <v/>
      </c>
      <c r="F71" s="46" t="str">
        <f aca="false">IF(F59&lt;&gt;"",MAX(F65:F70),"")</f>
        <v/>
      </c>
      <c r="G71" s="46" t="str">
        <f aca="false">IF(G59&lt;&gt;"",MAX(G65:G70),"")</f>
        <v/>
      </c>
      <c r="H71" s="46" t="str">
        <f aca="false">IF(H59&lt;&gt;"",MAX(H65:H70),"")</f>
        <v/>
      </c>
      <c r="I71" s="46" t="str">
        <f aca="false">IF(I59&lt;&gt;"",MAX(I65:I70),"")</f>
        <v/>
      </c>
      <c r="J71" s="46" t="str">
        <f aca="false">IF(J59&lt;&gt;"",MAX(J65:J70),"")</f>
        <v/>
      </c>
      <c r="K71" s="46" t="str">
        <f aca="false">IF(K59&lt;&gt;"",MAX(K65:K70),"")</f>
        <v/>
      </c>
      <c r="L71" s="46" t="str">
        <f aca="false">IF(L59&lt;&gt;"",MAX(L65:L70),"")</f>
        <v/>
      </c>
      <c r="M71" s="46" t="str">
        <f aca="false">IF(M59&lt;&gt;"",MAX(M65:M70),"")</f>
        <v/>
      </c>
      <c r="N71" s="46" t="str">
        <f aca="false">IF(N59&lt;&gt;"",MAX(N65:N70),"")</f>
        <v/>
      </c>
      <c r="O71" s="46" t="str">
        <f aca="false">IF(O59&lt;&gt;"",MAX(O65:O70),"")</f>
        <v/>
      </c>
      <c r="P71" s="46" t="str">
        <f aca="false">IF(P59&lt;&gt;"",MAX(P65:P70),"")</f>
        <v/>
      </c>
      <c r="Q71" s="46" t="str">
        <f aca="false">IF(Q59&lt;&gt;"",MAX(Q65:Q70),"")</f>
        <v/>
      </c>
      <c r="R71" s="46" t="str">
        <f aca="false">IF(R59&lt;&gt;"",MAX(R65:R70),"")</f>
        <v/>
      </c>
      <c r="S71" s="46" t="str">
        <f aca="false">IF(S59&lt;&gt;"",MAX(S65:S70),"")</f>
        <v/>
      </c>
      <c r="T71" s="46" t="str">
        <f aca="false">IF(T59&lt;&gt;"",MAX(T65:T70),"")</f>
        <v/>
      </c>
      <c r="U71" s="46" t="str">
        <f aca="false">IF(U59&lt;&gt;"",MAX(U65:U70),"")</f>
        <v/>
      </c>
      <c r="V71" s="46" t="str">
        <f aca="false">IF(V59&lt;&gt;"",MAX(V65:V70),"")</f>
        <v/>
      </c>
      <c r="W71" s="46" t="str">
        <f aca="false">IF(W59&lt;&gt;"",MAX(W65:W70),"")</f>
        <v/>
      </c>
      <c r="X71" s="46" t="str">
        <f aca="false">IF(X59&lt;&gt;"",MAX(X65:X70),"")</f>
        <v/>
      </c>
      <c r="Y71" s="46" t="str">
        <f aca="false">IF(Y59&lt;&gt;"",MAX(Y65:Y70),"")</f>
        <v/>
      </c>
      <c r="Z71" s="46" t="str">
        <f aca="false">IF(Z59&lt;&gt;"",MAX(Z65:Z70),"")</f>
        <v/>
      </c>
      <c r="AA71" s="46" t="str">
        <f aca="false">IF(AA59&lt;&gt;"",MAX(AA65:AA70),"")</f>
        <v/>
      </c>
      <c r="AB71" s="46" t="str">
        <f aca="false">IF(AB59&lt;&gt;"",MAX(AB65:AB70),"")</f>
        <v/>
      </c>
      <c r="AC71" s="46" t="str">
        <f aca="false">IF(AC59&lt;&gt;"",MAX(AC65:AC70),"")</f>
        <v/>
      </c>
      <c r="AD71" s="46" t="str">
        <f aca="false">IF(AD59&lt;&gt;"",MAX(AD65:AD70),"")</f>
        <v/>
      </c>
      <c r="AE71" s="46" t="str">
        <f aca="false">IF(AE59&lt;&gt;"",MAX(AE65:AE70),"")</f>
        <v/>
      </c>
      <c r="AF71" s="46" t="str">
        <f aca="false">IF(AF59&lt;&gt;"",MAX(AF65:AF70),"")</f>
        <v/>
      </c>
      <c r="AG71" s="46" t="str">
        <f aca="false">IF(AG59&lt;&gt;"",MAX(AG65:AG70),"")</f>
        <v/>
      </c>
      <c r="AH71" s="46" t="str">
        <f aca="false">IF(AH59&lt;&gt;"",MAX(AH65:AH70),"")</f>
        <v/>
      </c>
      <c r="AI71" s="46" t="str">
        <f aca="false">IF(AI59&lt;&gt;"",MAX(AI65:AI70),"")</f>
        <v/>
      </c>
      <c r="AJ71" s="46" t="str">
        <f aca="false">IF(AJ59&lt;&gt;"",MAX(AJ65:AJ70),"")</f>
        <v/>
      </c>
      <c r="AK71" s="73" t="str">
        <f aca="false">IF(AK59&lt;&gt;"",MAX(AK65:AK70),"")</f>
        <v/>
      </c>
      <c r="AL71" s="33"/>
      <c r="AM71" s="34"/>
      <c r="AN71" s="34"/>
      <c r="AO71" s="34"/>
      <c r="AP71" s="34"/>
      <c r="AQ71" s="34"/>
      <c r="AR71" s="40"/>
    </row>
    <row r="72" s="37" customFormat="true" ht="13.8" hidden="false" customHeight="false" outlineLevel="0" collapsed="false">
      <c r="A72" s="31"/>
      <c r="B72" s="36"/>
      <c r="C72" s="37" t="s">
        <v>106</v>
      </c>
      <c r="D72" s="37" t="s">
        <v>137</v>
      </c>
      <c r="E72" s="43" t="str">
        <f aca="false">IF(E59&lt;&gt;"",IF(E59&gt;130000000,28,IF(E59&gt;64000000,27,IF(E59&gt;320000000,26,IF(E59&gt;16000000,25,IF(E59&gt;8000000,24,IF(E59&gt;4000000,23,IF(E59&gt;2000000,22,IF(E59&gt;1000000,21,IF(E59&gt;500000,20,IF(E59&gt;250000,19,IF(E59&gt;130000,18,IF(E59&gt;64000,17,IF(E59&gt;32000,16,IF(E59&gt;16000,15,IF(E59&gt;8000,14,IF(E59&gt;4000,13,IF(E59&gt;2000,12,IF(E59&gt;1000,11,IF(E59&gt;500,10,IF(E59&gt;250,9,IF(E59&gt;130,8,IF(E59&gt;64,7,IF(E59&gt;32,6,IF(E59&gt;16,5,IF(E59&gt;8,4,IF(E59&gt;4,3,IF(E59&gt;2,2,IF(E59&gt;1,1,IF(E59&gt;0.5,0,IF(E59=0,0)))))))))))))))))))))))))))))),"")</f>
        <v/>
      </c>
      <c r="F72" s="43" t="str">
        <f aca="false">IF(F59&lt;&gt;"",IF(F59&gt;130000000,28,IF(F59&gt;64000000,27,IF(F59&gt;320000000,26,IF(F59&gt;16000000,25,IF(F59&gt;8000000,24,IF(F59&gt;4000000,23,IF(F59&gt;2000000,22,IF(F59&gt;1000000,21,IF(F59&gt;500000,20,IF(F59&gt;250000,19,IF(F59&gt;130000,18,IF(F59&gt;64000,17,IF(F59&gt;32000,16,IF(F59&gt;16000,15,IF(F59&gt;8000,14,IF(F59&gt;4000,13,IF(F59&gt;2000,12,IF(F59&gt;1000,11,IF(F59&gt;500,10,IF(F59&gt;250,9,IF(F59&gt;130,8,IF(F59&gt;64,7,IF(F59&gt;32,6,IF(F59&gt;16,5,IF(F59&gt;8,4,IF(F59&gt;4,3,IF(F59&gt;2,2,IF(F59&gt;1,1,IF(F59&gt;0.5,0,IF(F59=0,0)))))))))))))))))))))))))))))),"")</f>
        <v/>
      </c>
      <c r="G72" s="43" t="str">
        <f aca="false">IF(G59&lt;&gt;"",IF(G59&gt;130000000,28,IF(G59&gt;64000000,27,IF(G59&gt;320000000,26,IF(G59&gt;16000000,25,IF(G59&gt;8000000,24,IF(G59&gt;4000000,23,IF(G59&gt;2000000,22,IF(G59&gt;1000000,21,IF(G59&gt;500000,20,IF(G59&gt;250000,19,IF(G59&gt;130000,18,IF(G59&gt;64000,17,IF(G59&gt;32000,16,IF(G59&gt;16000,15,IF(G59&gt;8000,14,IF(G59&gt;4000,13,IF(G59&gt;2000,12,IF(G59&gt;1000,11,IF(G59&gt;500,10,IF(G59&gt;250,9,IF(G59&gt;130,8,IF(G59&gt;64,7,IF(G59&gt;32,6,IF(G59&gt;16,5,IF(G59&gt;8,4,IF(G59&gt;4,3,IF(G59&gt;2,2,IF(G59&gt;1,1,IF(G59&gt;0.5,0,IF(G59=0,0)))))))))))))))))))))))))))))),"")</f>
        <v/>
      </c>
      <c r="H72" s="43" t="str">
        <f aca="false">IF(H59&lt;&gt;"",IF(H59&gt;130000000,28,IF(H59&gt;64000000,27,IF(H59&gt;320000000,26,IF(H59&gt;16000000,25,IF(H59&gt;8000000,24,IF(H59&gt;4000000,23,IF(H59&gt;2000000,22,IF(H59&gt;1000000,21,IF(H59&gt;500000,20,IF(H59&gt;250000,19,IF(H59&gt;130000,18,IF(H59&gt;64000,17,IF(H59&gt;32000,16,IF(H59&gt;16000,15,IF(H59&gt;8000,14,IF(H59&gt;4000,13,IF(H59&gt;2000,12,IF(H59&gt;1000,11,IF(H59&gt;500,10,IF(H59&gt;250,9,IF(H59&gt;130,8,IF(H59&gt;64,7,IF(H59&gt;32,6,IF(H59&gt;16,5,IF(H59&gt;8,4,IF(H59&gt;4,3,IF(H59&gt;2,2,IF(H59&gt;1,1,IF(H59&gt;0.5,0,IF(H59=0,0)))))))))))))))))))))))))))))),"")</f>
        <v/>
      </c>
      <c r="I72" s="43" t="str">
        <f aca="false">IF(I59&lt;&gt;"",IF(I59&gt;130000000,28,IF(I59&gt;64000000,27,IF(I59&gt;320000000,26,IF(I59&gt;16000000,25,IF(I59&gt;8000000,24,IF(I59&gt;4000000,23,IF(I59&gt;2000000,22,IF(I59&gt;1000000,21,IF(I59&gt;500000,20,IF(I59&gt;250000,19,IF(I59&gt;130000,18,IF(I59&gt;64000,17,IF(I59&gt;32000,16,IF(I59&gt;16000,15,IF(I59&gt;8000,14,IF(I59&gt;4000,13,IF(I59&gt;2000,12,IF(I59&gt;1000,11,IF(I59&gt;500,10,IF(I59&gt;250,9,IF(I59&gt;130,8,IF(I59&gt;64,7,IF(I59&gt;32,6,IF(I59&gt;16,5,IF(I59&gt;8,4,IF(I59&gt;4,3,IF(I59&gt;2,2,IF(I59&gt;1,1,IF(I59&gt;0.5,0,IF(I59=0,0)))))))))))))))))))))))))))))),"")</f>
        <v/>
      </c>
      <c r="J72" s="43" t="str">
        <f aca="false">IF(J59&lt;&gt;"",IF(J59&gt;130000000,28,IF(J59&gt;64000000,27,IF(J59&gt;320000000,26,IF(J59&gt;16000000,25,IF(J59&gt;8000000,24,IF(J59&gt;4000000,23,IF(J59&gt;2000000,22,IF(J59&gt;1000000,21,IF(J59&gt;500000,20,IF(J59&gt;250000,19,IF(J59&gt;130000,18,IF(J59&gt;64000,17,IF(J59&gt;32000,16,IF(J59&gt;16000,15,IF(J59&gt;8000,14,IF(J59&gt;4000,13,IF(J59&gt;2000,12,IF(J59&gt;1000,11,IF(J59&gt;500,10,IF(J59&gt;250,9,IF(J59&gt;130,8,IF(J59&gt;64,7,IF(J59&gt;32,6,IF(J59&gt;16,5,IF(J59&gt;8,4,IF(J59&gt;4,3,IF(J59&gt;2,2,IF(J59&gt;1,1,IF(J59&gt;0.5,0,IF(J59=0,0)))))))))))))))))))))))))))))),"")</f>
        <v/>
      </c>
      <c r="K72" s="43" t="str">
        <f aca="false">IF(K59&lt;&gt;"",IF(K59&gt;130000000,28,IF(K59&gt;64000000,27,IF(K59&gt;320000000,26,IF(K59&gt;16000000,25,IF(K59&gt;8000000,24,IF(K59&gt;4000000,23,IF(K59&gt;2000000,22,IF(K59&gt;1000000,21,IF(K59&gt;500000,20,IF(K59&gt;250000,19,IF(K59&gt;130000,18,IF(K59&gt;64000,17,IF(K59&gt;32000,16,IF(K59&gt;16000,15,IF(K59&gt;8000,14,IF(K59&gt;4000,13,IF(K59&gt;2000,12,IF(K59&gt;1000,11,IF(K59&gt;500,10,IF(K59&gt;250,9,IF(K59&gt;130,8,IF(K59&gt;64,7,IF(K59&gt;32,6,IF(K59&gt;16,5,IF(K59&gt;8,4,IF(K59&gt;4,3,IF(K59&gt;2,2,IF(K59&gt;1,1,IF(K59&gt;0.5,0,IF(K59=0,0)))))))))))))))))))))))))))))),"")</f>
        <v/>
      </c>
      <c r="L72" s="43" t="str">
        <f aca="false">IF(L59&lt;&gt;"",IF(L59&gt;130000000,28,IF(L59&gt;64000000,27,IF(L59&gt;320000000,26,IF(L59&gt;16000000,25,IF(L59&gt;8000000,24,IF(L59&gt;4000000,23,IF(L59&gt;2000000,22,IF(L59&gt;1000000,21,IF(L59&gt;500000,20,IF(L59&gt;250000,19,IF(L59&gt;130000,18,IF(L59&gt;64000,17,IF(L59&gt;32000,16,IF(L59&gt;16000,15,IF(L59&gt;8000,14,IF(L59&gt;4000,13,IF(L59&gt;2000,12,IF(L59&gt;1000,11,IF(L59&gt;500,10,IF(L59&gt;250,9,IF(L59&gt;130,8,IF(L59&gt;64,7,IF(L59&gt;32,6,IF(L59&gt;16,5,IF(L59&gt;8,4,IF(L59&gt;4,3,IF(L59&gt;2,2,IF(L59&gt;1,1,IF(L59&gt;0.5,0,IF(L59=0,0)))))))))))))))))))))))))))))),"")</f>
        <v/>
      </c>
      <c r="M72" s="43" t="str">
        <f aca="false">IF(M59&lt;&gt;"",IF(M59&gt;130000000,28,IF(M59&gt;64000000,27,IF(M59&gt;320000000,26,IF(M59&gt;16000000,25,IF(M59&gt;8000000,24,IF(M59&gt;4000000,23,IF(M59&gt;2000000,22,IF(M59&gt;1000000,21,IF(M59&gt;500000,20,IF(M59&gt;250000,19,IF(M59&gt;130000,18,IF(M59&gt;64000,17,IF(M59&gt;32000,16,IF(M59&gt;16000,15,IF(M59&gt;8000,14,IF(M59&gt;4000,13,IF(M59&gt;2000,12,IF(M59&gt;1000,11,IF(M59&gt;500,10,IF(M59&gt;250,9,IF(M59&gt;130,8,IF(M59&gt;64,7,IF(M59&gt;32,6,IF(M59&gt;16,5,IF(M59&gt;8,4,IF(M59&gt;4,3,IF(M59&gt;2,2,IF(M59&gt;1,1,IF(M59&gt;0.5,0,IF(M59=0,0)))))))))))))))))))))))))))))),"")</f>
        <v/>
      </c>
      <c r="N72" s="43" t="str">
        <f aca="false">IF(N59&lt;&gt;"",IF(N59&gt;130000000,28,IF(N59&gt;64000000,27,IF(N59&gt;320000000,26,IF(N59&gt;16000000,25,IF(N59&gt;8000000,24,IF(N59&gt;4000000,23,IF(N59&gt;2000000,22,IF(N59&gt;1000000,21,IF(N59&gt;500000,20,IF(N59&gt;250000,19,IF(N59&gt;130000,18,IF(N59&gt;64000,17,IF(N59&gt;32000,16,IF(N59&gt;16000,15,IF(N59&gt;8000,14,IF(N59&gt;4000,13,IF(N59&gt;2000,12,IF(N59&gt;1000,11,IF(N59&gt;500,10,IF(N59&gt;250,9,IF(N59&gt;130,8,IF(N59&gt;64,7,IF(N59&gt;32,6,IF(N59&gt;16,5,IF(N59&gt;8,4,IF(N59&gt;4,3,IF(N59&gt;2,2,IF(N59&gt;1,1,IF(N59&gt;0.5,0,IF(N59=0,0)))))))))))))))))))))))))))))),"")</f>
        <v/>
      </c>
      <c r="O72" s="43" t="str">
        <f aca="false">IF(O59&lt;&gt;"",IF(O59&gt;130000000,28,IF(O59&gt;64000000,27,IF(O59&gt;320000000,26,IF(O59&gt;16000000,25,IF(O59&gt;8000000,24,IF(O59&gt;4000000,23,IF(O59&gt;2000000,22,IF(O59&gt;1000000,21,IF(O59&gt;500000,20,IF(O59&gt;250000,19,IF(O59&gt;130000,18,IF(O59&gt;64000,17,IF(O59&gt;32000,16,IF(O59&gt;16000,15,IF(O59&gt;8000,14,IF(O59&gt;4000,13,IF(O59&gt;2000,12,IF(O59&gt;1000,11,IF(O59&gt;500,10,IF(O59&gt;250,9,IF(O59&gt;130,8,IF(O59&gt;64,7,IF(O59&gt;32,6,IF(O59&gt;16,5,IF(O59&gt;8,4,IF(O59&gt;4,3,IF(O59&gt;2,2,IF(O59&gt;1,1,IF(O59&gt;0.5,0,IF(O59=0,0)))))))))))))))))))))))))))))),"")</f>
        <v/>
      </c>
      <c r="P72" s="43" t="str">
        <f aca="false">IF(P59&lt;&gt;"",IF(P59&gt;130000000,28,IF(P59&gt;64000000,27,IF(P59&gt;320000000,26,IF(P59&gt;16000000,25,IF(P59&gt;8000000,24,IF(P59&gt;4000000,23,IF(P59&gt;2000000,22,IF(P59&gt;1000000,21,IF(P59&gt;500000,20,IF(P59&gt;250000,19,IF(P59&gt;130000,18,IF(P59&gt;64000,17,IF(P59&gt;32000,16,IF(P59&gt;16000,15,IF(P59&gt;8000,14,IF(P59&gt;4000,13,IF(P59&gt;2000,12,IF(P59&gt;1000,11,IF(P59&gt;500,10,IF(P59&gt;250,9,IF(P59&gt;130,8,IF(P59&gt;64,7,IF(P59&gt;32,6,IF(P59&gt;16,5,IF(P59&gt;8,4,IF(P59&gt;4,3,IF(P59&gt;2,2,IF(P59&gt;1,1,IF(P59&gt;0.5,0,IF(P59=0,0)))))))))))))))))))))))))))))),"")</f>
        <v/>
      </c>
      <c r="Q72" s="43" t="str">
        <f aca="false">IF(Q59&lt;&gt;"",IF(Q59&gt;130000000,28,IF(Q59&gt;64000000,27,IF(Q59&gt;320000000,26,IF(Q59&gt;16000000,25,IF(Q59&gt;8000000,24,IF(Q59&gt;4000000,23,IF(Q59&gt;2000000,22,IF(Q59&gt;1000000,21,IF(Q59&gt;500000,20,IF(Q59&gt;250000,19,IF(Q59&gt;130000,18,IF(Q59&gt;64000,17,IF(Q59&gt;32000,16,IF(Q59&gt;16000,15,IF(Q59&gt;8000,14,IF(Q59&gt;4000,13,IF(Q59&gt;2000,12,IF(Q59&gt;1000,11,IF(Q59&gt;500,10,IF(Q59&gt;250,9,IF(Q59&gt;130,8,IF(Q59&gt;64,7,IF(Q59&gt;32,6,IF(Q59&gt;16,5,IF(Q59&gt;8,4,IF(Q59&gt;4,3,IF(Q59&gt;2,2,IF(Q59&gt;1,1,IF(Q59&gt;0.5,0,IF(Q59=0,0)))))))))))))))))))))))))))))),"")</f>
        <v/>
      </c>
      <c r="R72" s="43" t="str">
        <f aca="false">IF(R59&lt;&gt;"",IF(R59&gt;130000000,28,IF(R59&gt;64000000,27,IF(R59&gt;320000000,26,IF(R59&gt;16000000,25,IF(R59&gt;8000000,24,IF(R59&gt;4000000,23,IF(R59&gt;2000000,22,IF(R59&gt;1000000,21,IF(R59&gt;500000,20,IF(R59&gt;250000,19,IF(R59&gt;130000,18,IF(R59&gt;64000,17,IF(R59&gt;32000,16,IF(R59&gt;16000,15,IF(R59&gt;8000,14,IF(R59&gt;4000,13,IF(R59&gt;2000,12,IF(R59&gt;1000,11,IF(R59&gt;500,10,IF(R59&gt;250,9,IF(R59&gt;130,8,IF(R59&gt;64,7,IF(R59&gt;32,6,IF(R59&gt;16,5,IF(R59&gt;8,4,IF(R59&gt;4,3,IF(R59&gt;2,2,IF(R59&gt;1,1,IF(R59&gt;0.5,0,IF(R59=0,0)))))))))))))))))))))))))))))),"")</f>
        <v/>
      </c>
      <c r="S72" s="43" t="str">
        <f aca="false">IF(S59&lt;&gt;"",IF(S59&gt;130000000,28,IF(S59&gt;64000000,27,IF(S59&gt;320000000,26,IF(S59&gt;16000000,25,IF(S59&gt;8000000,24,IF(S59&gt;4000000,23,IF(S59&gt;2000000,22,IF(S59&gt;1000000,21,IF(S59&gt;500000,20,IF(S59&gt;250000,19,IF(S59&gt;130000,18,IF(S59&gt;64000,17,IF(S59&gt;32000,16,IF(S59&gt;16000,15,IF(S59&gt;8000,14,IF(S59&gt;4000,13,IF(S59&gt;2000,12,IF(S59&gt;1000,11,IF(S59&gt;500,10,IF(S59&gt;250,9,IF(S59&gt;130,8,IF(S59&gt;64,7,IF(S59&gt;32,6,IF(S59&gt;16,5,IF(S59&gt;8,4,IF(S59&gt;4,3,IF(S59&gt;2,2,IF(S59&gt;1,1,IF(S59&gt;0.5,0,IF(S59=0,0)))))))))))))))))))))))))))))),"")</f>
        <v/>
      </c>
      <c r="T72" s="43" t="str">
        <f aca="false">IF(T59&lt;&gt;"",IF(T59&gt;130000000,28,IF(T59&gt;64000000,27,IF(T59&gt;320000000,26,IF(T59&gt;16000000,25,IF(T59&gt;8000000,24,IF(T59&gt;4000000,23,IF(T59&gt;2000000,22,IF(T59&gt;1000000,21,IF(T59&gt;500000,20,IF(T59&gt;250000,19,IF(T59&gt;130000,18,IF(T59&gt;64000,17,IF(T59&gt;32000,16,IF(T59&gt;16000,15,IF(T59&gt;8000,14,IF(T59&gt;4000,13,IF(T59&gt;2000,12,IF(T59&gt;1000,11,IF(T59&gt;500,10,IF(T59&gt;250,9,IF(T59&gt;130,8,IF(T59&gt;64,7,IF(T59&gt;32,6,IF(T59&gt;16,5,IF(T59&gt;8,4,IF(T59&gt;4,3,IF(T59&gt;2,2,IF(T59&gt;1,1,IF(T59&gt;0.5,0,IF(T59=0,0)))))))))))))))))))))))))))))),"")</f>
        <v/>
      </c>
      <c r="U72" s="43" t="str">
        <f aca="false">IF(U59&lt;&gt;"",IF(U59&gt;130000000,28,IF(U59&gt;64000000,27,IF(U59&gt;320000000,26,IF(U59&gt;16000000,25,IF(U59&gt;8000000,24,IF(U59&gt;4000000,23,IF(U59&gt;2000000,22,IF(U59&gt;1000000,21,IF(U59&gt;500000,20,IF(U59&gt;250000,19,IF(U59&gt;130000,18,IF(U59&gt;64000,17,IF(U59&gt;32000,16,IF(U59&gt;16000,15,IF(U59&gt;8000,14,IF(U59&gt;4000,13,IF(U59&gt;2000,12,IF(U59&gt;1000,11,IF(U59&gt;500,10,IF(U59&gt;250,9,IF(U59&gt;130,8,IF(U59&gt;64,7,IF(U59&gt;32,6,IF(U59&gt;16,5,IF(U59&gt;8,4,IF(U59&gt;4,3,IF(U59&gt;2,2,IF(U59&gt;1,1,IF(U59&gt;0.5,0,IF(U59=0,0)))))))))))))))))))))))))))))),"")</f>
        <v/>
      </c>
      <c r="V72" s="43" t="str">
        <f aca="false">IF(V59&lt;&gt;"",IF(V59&gt;130000000,28,IF(V59&gt;64000000,27,IF(V59&gt;320000000,26,IF(V59&gt;16000000,25,IF(V59&gt;8000000,24,IF(V59&gt;4000000,23,IF(V59&gt;2000000,22,IF(V59&gt;1000000,21,IF(V59&gt;500000,20,IF(V59&gt;250000,19,IF(V59&gt;130000,18,IF(V59&gt;64000,17,IF(V59&gt;32000,16,IF(V59&gt;16000,15,IF(V59&gt;8000,14,IF(V59&gt;4000,13,IF(V59&gt;2000,12,IF(V59&gt;1000,11,IF(V59&gt;500,10,IF(V59&gt;250,9,IF(V59&gt;130,8,IF(V59&gt;64,7,IF(V59&gt;32,6,IF(V59&gt;16,5,IF(V59&gt;8,4,IF(V59&gt;4,3,IF(V59&gt;2,2,IF(V59&gt;1,1,IF(V59&gt;0.5,0,IF(V59=0,0)))))))))))))))))))))))))))))),"")</f>
        <v/>
      </c>
      <c r="W72" s="43" t="str">
        <f aca="false">IF(W59&lt;&gt;"",IF(W59&gt;130000000,28,IF(W59&gt;64000000,27,IF(W59&gt;320000000,26,IF(W59&gt;16000000,25,IF(W59&gt;8000000,24,IF(W59&gt;4000000,23,IF(W59&gt;2000000,22,IF(W59&gt;1000000,21,IF(W59&gt;500000,20,IF(W59&gt;250000,19,IF(W59&gt;130000,18,IF(W59&gt;64000,17,IF(W59&gt;32000,16,IF(W59&gt;16000,15,IF(W59&gt;8000,14,IF(W59&gt;4000,13,IF(W59&gt;2000,12,IF(W59&gt;1000,11,IF(W59&gt;500,10,IF(W59&gt;250,9,IF(W59&gt;130,8,IF(W59&gt;64,7,IF(W59&gt;32,6,IF(W59&gt;16,5,IF(W59&gt;8,4,IF(W59&gt;4,3,IF(W59&gt;2,2,IF(W59&gt;1,1,IF(W59&gt;0.5,0,IF(W59=0,0)))))))))))))))))))))))))))))),"")</f>
        <v/>
      </c>
      <c r="X72" s="43" t="str">
        <f aca="false">IF(X59&lt;&gt;"",IF(X59&gt;130000000,28,IF(X59&gt;64000000,27,IF(X59&gt;320000000,26,IF(X59&gt;16000000,25,IF(X59&gt;8000000,24,IF(X59&gt;4000000,23,IF(X59&gt;2000000,22,IF(X59&gt;1000000,21,IF(X59&gt;500000,20,IF(X59&gt;250000,19,IF(X59&gt;130000,18,IF(X59&gt;64000,17,IF(X59&gt;32000,16,IF(X59&gt;16000,15,IF(X59&gt;8000,14,IF(X59&gt;4000,13,IF(X59&gt;2000,12,IF(X59&gt;1000,11,IF(X59&gt;500,10,IF(X59&gt;250,9,IF(X59&gt;130,8,IF(X59&gt;64,7,IF(X59&gt;32,6,IF(X59&gt;16,5,IF(X59&gt;8,4,IF(X59&gt;4,3,IF(X59&gt;2,2,IF(X59&gt;1,1,IF(X59&gt;0.5,0,IF(X59=0,0)))))))))))))))))))))))))))))),"")</f>
        <v/>
      </c>
      <c r="Y72" s="43" t="str">
        <f aca="false">IF(Y59&lt;&gt;"",IF(Y59&gt;130000000,28,IF(Y59&gt;64000000,27,IF(Y59&gt;320000000,26,IF(Y59&gt;16000000,25,IF(Y59&gt;8000000,24,IF(Y59&gt;4000000,23,IF(Y59&gt;2000000,22,IF(Y59&gt;1000000,21,IF(Y59&gt;500000,20,IF(Y59&gt;250000,19,IF(Y59&gt;130000,18,IF(Y59&gt;64000,17,IF(Y59&gt;32000,16,IF(Y59&gt;16000,15,IF(Y59&gt;8000,14,IF(Y59&gt;4000,13,IF(Y59&gt;2000,12,IF(Y59&gt;1000,11,IF(Y59&gt;500,10,IF(Y59&gt;250,9,IF(Y59&gt;130,8,IF(Y59&gt;64,7,IF(Y59&gt;32,6,IF(Y59&gt;16,5,IF(Y59&gt;8,4,IF(Y59&gt;4,3,IF(Y59&gt;2,2,IF(Y59&gt;1,1,IF(Y59&gt;0.5,0,IF(Y59=0,0)))))))))))))))))))))))))))))),"")</f>
        <v/>
      </c>
      <c r="Z72" s="43" t="str">
        <f aca="false">IF(Z59&lt;&gt;"",IF(Z59&gt;130000000,28,IF(Z59&gt;64000000,27,IF(Z59&gt;320000000,26,IF(Z59&gt;16000000,25,IF(Z59&gt;8000000,24,IF(Z59&gt;4000000,23,IF(Z59&gt;2000000,22,IF(Z59&gt;1000000,21,IF(Z59&gt;500000,20,IF(Z59&gt;250000,19,IF(Z59&gt;130000,18,IF(Z59&gt;64000,17,IF(Z59&gt;32000,16,IF(Z59&gt;16000,15,IF(Z59&gt;8000,14,IF(Z59&gt;4000,13,IF(Z59&gt;2000,12,IF(Z59&gt;1000,11,IF(Z59&gt;500,10,IF(Z59&gt;250,9,IF(Z59&gt;130,8,IF(Z59&gt;64,7,IF(Z59&gt;32,6,IF(Z59&gt;16,5,IF(Z59&gt;8,4,IF(Z59&gt;4,3,IF(Z59&gt;2,2,IF(Z59&gt;1,1,IF(Z59&gt;0.5,0,IF(Z59=0,0)))))))))))))))))))))))))))))),"")</f>
        <v/>
      </c>
      <c r="AA72" s="43" t="str">
        <f aca="false">IF(AA59&lt;&gt;"",IF(AA59&gt;130000000,28,IF(AA59&gt;64000000,27,IF(AA59&gt;320000000,26,IF(AA59&gt;16000000,25,IF(AA59&gt;8000000,24,IF(AA59&gt;4000000,23,IF(AA59&gt;2000000,22,IF(AA59&gt;1000000,21,IF(AA59&gt;500000,20,IF(AA59&gt;250000,19,IF(AA59&gt;130000,18,IF(AA59&gt;64000,17,IF(AA59&gt;32000,16,IF(AA59&gt;16000,15,IF(AA59&gt;8000,14,IF(AA59&gt;4000,13,IF(AA59&gt;2000,12,IF(AA59&gt;1000,11,IF(AA59&gt;500,10,IF(AA59&gt;250,9,IF(AA59&gt;130,8,IF(AA59&gt;64,7,IF(AA59&gt;32,6,IF(AA59&gt;16,5,IF(AA59&gt;8,4,IF(AA59&gt;4,3,IF(AA59&gt;2,2,IF(AA59&gt;1,1,IF(AA59&gt;0.5,0,IF(AA59=0,0)))))))))))))))))))))))))))))),"")</f>
        <v/>
      </c>
      <c r="AB72" s="43" t="str">
        <f aca="false">IF(AB59&lt;&gt;"",IF(AB59&gt;130000000,28,IF(AB59&gt;64000000,27,IF(AB59&gt;320000000,26,IF(AB59&gt;16000000,25,IF(AB59&gt;8000000,24,IF(AB59&gt;4000000,23,IF(AB59&gt;2000000,22,IF(AB59&gt;1000000,21,IF(AB59&gt;500000,20,IF(AB59&gt;250000,19,IF(AB59&gt;130000,18,IF(AB59&gt;64000,17,IF(AB59&gt;32000,16,IF(AB59&gt;16000,15,IF(AB59&gt;8000,14,IF(AB59&gt;4000,13,IF(AB59&gt;2000,12,IF(AB59&gt;1000,11,IF(AB59&gt;500,10,IF(AB59&gt;250,9,IF(AB59&gt;130,8,IF(AB59&gt;64,7,IF(AB59&gt;32,6,IF(AB59&gt;16,5,IF(AB59&gt;8,4,IF(AB59&gt;4,3,IF(AB59&gt;2,2,IF(AB59&gt;1,1,IF(AB59&gt;0.5,0,IF(AB59=0,0)))))))))))))))))))))))))))))),"")</f>
        <v/>
      </c>
      <c r="AC72" s="43" t="str">
        <f aca="false">IF(AC59&lt;&gt;"",IF(AC59&gt;130000000,28,IF(AC59&gt;64000000,27,IF(AC59&gt;320000000,26,IF(AC59&gt;16000000,25,IF(AC59&gt;8000000,24,IF(AC59&gt;4000000,23,IF(AC59&gt;2000000,22,IF(AC59&gt;1000000,21,IF(AC59&gt;500000,20,IF(AC59&gt;250000,19,IF(AC59&gt;130000,18,IF(AC59&gt;64000,17,IF(AC59&gt;32000,16,IF(AC59&gt;16000,15,IF(AC59&gt;8000,14,IF(AC59&gt;4000,13,IF(AC59&gt;2000,12,IF(AC59&gt;1000,11,IF(AC59&gt;500,10,IF(AC59&gt;250,9,IF(AC59&gt;130,8,IF(AC59&gt;64,7,IF(AC59&gt;32,6,IF(AC59&gt;16,5,IF(AC59&gt;8,4,IF(AC59&gt;4,3,IF(AC59&gt;2,2,IF(AC59&gt;1,1,IF(AC59&gt;0.5,0,IF(AC59=0,0)))))))))))))))))))))))))))))),"")</f>
        <v/>
      </c>
      <c r="AD72" s="43" t="str">
        <f aca="false">IF(AD59&lt;&gt;"",IF(AD59&gt;130000000,28,IF(AD59&gt;64000000,27,IF(AD59&gt;320000000,26,IF(AD59&gt;16000000,25,IF(AD59&gt;8000000,24,IF(AD59&gt;4000000,23,IF(AD59&gt;2000000,22,IF(AD59&gt;1000000,21,IF(AD59&gt;500000,20,IF(AD59&gt;250000,19,IF(AD59&gt;130000,18,IF(AD59&gt;64000,17,IF(AD59&gt;32000,16,IF(AD59&gt;16000,15,IF(AD59&gt;8000,14,IF(AD59&gt;4000,13,IF(AD59&gt;2000,12,IF(AD59&gt;1000,11,IF(AD59&gt;500,10,IF(AD59&gt;250,9,IF(AD59&gt;130,8,IF(AD59&gt;64,7,IF(AD59&gt;32,6,IF(AD59&gt;16,5,IF(AD59&gt;8,4,IF(AD59&gt;4,3,IF(AD59&gt;2,2,IF(AD59&gt;1,1,IF(AD59&gt;0.5,0,IF(AD59=0,0)))))))))))))))))))))))))))))),"")</f>
        <v/>
      </c>
      <c r="AE72" s="43" t="str">
        <f aca="false">IF(AE59&lt;&gt;"",IF(AE59&gt;130000000,28,IF(AE59&gt;64000000,27,IF(AE59&gt;320000000,26,IF(AE59&gt;16000000,25,IF(AE59&gt;8000000,24,IF(AE59&gt;4000000,23,IF(AE59&gt;2000000,22,IF(AE59&gt;1000000,21,IF(AE59&gt;500000,20,IF(AE59&gt;250000,19,IF(AE59&gt;130000,18,IF(AE59&gt;64000,17,IF(AE59&gt;32000,16,IF(AE59&gt;16000,15,IF(AE59&gt;8000,14,IF(AE59&gt;4000,13,IF(AE59&gt;2000,12,IF(AE59&gt;1000,11,IF(AE59&gt;500,10,IF(AE59&gt;250,9,IF(AE59&gt;130,8,IF(AE59&gt;64,7,IF(AE59&gt;32,6,IF(AE59&gt;16,5,IF(AE59&gt;8,4,IF(AE59&gt;4,3,IF(AE59&gt;2,2,IF(AE59&gt;1,1,IF(AE59&gt;0.5,0,IF(AE59=0,0)))))))))))))))))))))))))))))),"")</f>
        <v/>
      </c>
      <c r="AF72" s="43" t="str">
        <f aca="false">IF(AF59&lt;&gt;"",IF(AF59&gt;130000000,28,IF(AF59&gt;64000000,27,IF(AF59&gt;320000000,26,IF(AF59&gt;16000000,25,IF(AF59&gt;8000000,24,IF(AF59&gt;4000000,23,IF(AF59&gt;2000000,22,IF(AF59&gt;1000000,21,IF(AF59&gt;500000,20,IF(AF59&gt;250000,19,IF(AF59&gt;130000,18,IF(AF59&gt;64000,17,IF(AF59&gt;32000,16,IF(AF59&gt;16000,15,IF(AF59&gt;8000,14,IF(AF59&gt;4000,13,IF(AF59&gt;2000,12,IF(AF59&gt;1000,11,IF(AF59&gt;500,10,IF(AF59&gt;250,9,IF(AF59&gt;130,8,IF(AF59&gt;64,7,IF(AF59&gt;32,6,IF(AF59&gt;16,5,IF(AF59&gt;8,4,IF(AF59&gt;4,3,IF(AF59&gt;2,2,IF(AF59&gt;1,1,IF(AF59&gt;0.5,0,IF(AF59=0,0)))))))))))))))))))))))))))))),"")</f>
        <v/>
      </c>
      <c r="AG72" s="43" t="str">
        <f aca="false">IF(AG59&lt;&gt;"",IF(AG59&gt;130000000,28,IF(AG59&gt;64000000,27,IF(AG59&gt;320000000,26,IF(AG59&gt;16000000,25,IF(AG59&gt;8000000,24,IF(AG59&gt;4000000,23,IF(AG59&gt;2000000,22,IF(AG59&gt;1000000,21,IF(AG59&gt;500000,20,IF(AG59&gt;250000,19,IF(AG59&gt;130000,18,IF(AG59&gt;64000,17,IF(AG59&gt;32000,16,IF(AG59&gt;16000,15,IF(AG59&gt;8000,14,IF(AG59&gt;4000,13,IF(AG59&gt;2000,12,IF(AG59&gt;1000,11,IF(AG59&gt;500,10,IF(AG59&gt;250,9,IF(AG59&gt;130,8,IF(AG59&gt;64,7,IF(AG59&gt;32,6,IF(AG59&gt;16,5,IF(AG59&gt;8,4,IF(AG59&gt;4,3,IF(AG59&gt;2,2,IF(AG59&gt;1,1,IF(AG59&gt;0.5,0,IF(AG59=0,0)))))))))))))))))))))))))))))),"")</f>
        <v/>
      </c>
      <c r="AH72" s="43" t="str">
        <f aca="false">IF(AH59&lt;&gt;"",IF(AH59&gt;130000000,28,IF(AH59&gt;64000000,27,IF(AH59&gt;320000000,26,IF(AH59&gt;16000000,25,IF(AH59&gt;8000000,24,IF(AH59&gt;4000000,23,IF(AH59&gt;2000000,22,IF(AH59&gt;1000000,21,IF(AH59&gt;500000,20,IF(AH59&gt;250000,19,IF(AH59&gt;130000,18,IF(AH59&gt;64000,17,IF(AH59&gt;32000,16,IF(AH59&gt;16000,15,IF(AH59&gt;8000,14,IF(AH59&gt;4000,13,IF(AH59&gt;2000,12,IF(AH59&gt;1000,11,IF(AH59&gt;500,10,IF(AH59&gt;250,9,IF(AH59&gt;130,8,IF(AH59&gt;64,7,IF(AH59&gt;32,6,IF(AH59&gt;16,5,IF(AH59&gt;8,4,IF(AH59&gt;4,3,IF(AH59&gt;2,2,IF(AH59&gt;1,1,IF(AH59&gt;0.5,0,IF(AH59=0,0)))))))))))))))))))))))))))))),"")</f>
        <v/>
      </c>
      <c r="AI72" s="43" t="str">
        <f aca="false">IF(AI59&lt;&gt;"",IF(AI59&gt;130000000,28,IF(AI59&gt;64000000,27,IF(AI59&gt;320000000,26,IF(AI59&gt;16000000,25,IF(AI59&gt;8000000,24,IF(AI59&gt;4000000,23,IF(AI59&gt;2000000,22,IF(AI59&gt;1000000,21,IF(AI59&gt;500000,20,IF(AI59&gt;250000,19,IF(AI59&gt;130000,18,IF(AI59&gt;64000,17,IF(AI59&gt;32000,16,IF(AI59&gt;16000,15,IF(AI59&gt;8000,14,IF(AI59&gt;4000,13,IF(AI59&gt;2000,12,IF(AI59&gt;1000,11,IF(AI59&gt;500,10,IF(AI59&gt;250,9,IF(AI59&gt;130,8,IF(AI59&gt;64,7,IF(AI59&gt;32,6,IF(AI59&gt;16,5,IF(AI59&gt;8,4,IF(AI59&gt;4,3,IF(AI59&gt;2,2,IF(AI59&gt;1,1,IF(AI59&gt;0.5,0,IF(AI59=0,0)))))))))))))))))))))))))))))),"")</f>
        <v/>
      </c>
      <c r="AJ72" s="43" t="str">
        <f aca="false">IF(AJ59&lt;&gt;"",IF(AJ59&gt;130000000,28,IF(AJ59&gt;64000000,27,IF(AJ59&gt;320000000,26,IF(AJ59&gt;16000000,25,IF(AJ59&gt;8000000,24,IF(AJ59&gt;4000000,23,IF(AJ59&gt;2000000,22,IF(AJ59&gt;1000000,21,IF(AJ59&gt;500000,20,IF(AJ59&gt;250000,19,IF(AJ59&gt;130000,18,IF(AJ59&gt;64000,17,IF(AJ59&gt;32000,16,IF(AJ59&gt;16000,15,IF(AJ59&gt;8000,14,IF(AJ59&gt;4000,13,IF(AJ59&gt;2000,12,IF(AJ59&gt;1000,11,IF(AJ59&gt;500,10,IF(AJ59&gt;250,9,IF(AJ59&gt;130,8,IF(AJ59&gt;64,7,IF(AJ59&gt;32,6,IF(AJ59&gt;16,5,IF(AJ59&gt;8,4,IF(AJ59&gt;4,3,IF(AJ59&gt;2,2,IF(AJ59&gt;1,1,IF(AJ59&gt;0.5,0,IF(AJ59=0,0)))))))))))))))))))))))))))))),"")</f>
        <v/>
      </c>
      <c r="AK72" s="44" t="str">
        <f aca="false">IF(AK59&lt;&gt;"",IF(AK59&gt;130000000,28,IF(AK59&gt;64000000,27,IF(AK59&gt;320000000,26,IF(AK59&gt;16000000,25,IF(AK59&gt;8000000,24,IF(AK59&gt;4000000,23,IF(AK59&gt;2000000,22,IF(AK59&gt;1000000,21,IF(AK59&gt;500000,20,IF(AK59&gt;250000,19,IF(AK59&gt;130000,18,IF(AK59&gt;64000,17,IF(AK59&gt;32000,16,IF(AK59&gt;16000,15,IF(AK59&gt;8000,14,IF(AK59&gt;4000,13,IF(AK59&gt;2000,12,IF(AK59&gt;1000,11,IF(AK59&gt;500,10,IF(AK59&gt;250,9,IF(AK59&gt;130,8,IF(AK59&gt;64,7,IF(AK59&gt;32,6,IF(AK59&gt;16,5,IF(AK59&gt;8,4,IF(AK59&gt;4,3,IF(AK59&gt;2,2,IF(AK59&gt;1,1,IF(AK59&gt;0.5,0,IF(AK59=0,0)))))))))))))))))))))))))))))),"")</f>
        <v/>
      </c>
      <c r="AL72" s="33"/>
      <c r="AM72" s="34"/>
      <c r="AN72" s="34"/>
      <c r="AO72" s="34"/>
      <c r="AP72" s="34"/>
      <c r="AQ72" s="34"/>
      <c r="AR72" s="40"/>
    </row>
    <row r="73" s="37" customFormat="true" ht="13.8" hidden="false" customHeight="false" outlineLevel="0" collapsed="false">
      <c r="A73" s="31"/>
      <c r="B73" s="36"/>
      <c r="C73" s="37" t="s">
        <v>108</v>
      </c>
      <c r="D73" s="37" t="s">
        <v>138</v>
      </c>
      <c r="E73" s="43" t="str">
        <f aca="false">IF(E60&lt;&gt;"",IF(E60&gt;130000000,28,IF(E60&gt;64000000,27,IF(E60&gt;320000000,26,IF(E60&gt;16000000,25,IF(E60&gt;8000000,24,IF(E60&gt;4000000,23,IF(E60&gt;2000000,22,IF(E60&gt;1000000,21,IF(E60&gt;500000,20,IF(E60&gt;250000,19,IF(E60&gt;130000,18,IF(E60&gt;64000,17,IF(E60&gt;32000,16,IF(E60&gt;16000,15,IF(E60&gt;8000,14,IF(E60&gt;4000,13,IF(E60&gt;2000,12,IF(E60&gt;1000,11,IF(E60&gt;500,10,IF(E60&gt;250,9,IF(E60&gt;130,8,IF(E60&gt;64,7,IF(E60&gt;32,6,IF(E60&gt;16,5,IF(E60&gt;8,4,IF(E60&gt;4,3,IF(E60&gt;2,2,IF(E60&gt;1,1,IF(E60&gt;0.5,0,IF(E60=0,0)))))))))))))))))))))))))))))),"")</f>
        <v/>
      </c>
      <c r="F73" s="43" t="str">
        <f aca="false">IF(F60&lt;&gt;"",IF(F60&gt;130000000,28,IF(F60&gt;64000000,27,IF(F60&gt;320000000,26,IF(F60&gt;16000000,25,IF(F60&gt;8000000,24,IF(F60&gt;4000000,23,IF(F60&gt;2000000,22,IF(F60&gt;1000000,21,IF(F60&gt;500000,20,IF(F60&gt;250000,19,IF(F60&gt;130000,18,IF(F60&gt;64000,17,IF(F60&gt;32000,16,IF(F60&gt;16000,15,IF(F60&gt;8000,14,IF(F60&gt;4000,13,IF(F60&gt;2000,12,IF(F60&gt;1000,11,IF(F60&gt;500,10,IF(F60&gt;250,9,IF(F60&gt;130,8,IF(F60&gt;64,7,IF(F60&gt;32,6,IF(F60&gt;16,5,IF(F60&gt;8,4,IF(F60&gt;4,3,IF(F60&gt;2,2,IF(F60&gt;1,1,IF(F60&gt;0.5,0,IF(F60=0,0)))))))))))))))))))))))))))))),"")</f>
        <v/>
      </c>
      <c r="G73" s="43" t="str">
        <f aca="false">IF(G60&lt;&gt;"",IF(G60&gt;130000000,28,IF(G60&gt;64000000,27,IF(G60&gt;320000000,26,IF(G60&gt;16000000,25,IF(G60&gt;8000000,24,IF(G60&gt;4000000,23,IF(G60&gt;2000000,22,IF(G60&gt;1000000,21,IF(G60&gt;500000,20,IF(G60&gt;250000,19,IF(G60&gt;130000,18,IF(G60&gt;64000,17,IF(G60&gt;32000,16,IF(G60&gt;16000,15,IF(G60&gt;8000,14,IF(G60&gt;4000,13,IF(G60&gt;2000,12,IF(G60&gt;1000,11,IF(G60&gt;500,10,IF(G60&gt;250,9,IF(G60&gt;130,8,IF(G60&gt;64,7,IF(G60&gt;32,6,IF(G60&gt;16,5,IF(G60&gt;8,4,IF(G60&gt;4,3,IF(G60&gt;2,2,IF(G60&gt;1,1,IF(G60&gt;0.5,0,IF(G60=0,0)))))))))))))))))))))))))))))),"")</f>
        <v/>
      </c>
      <c r="H73" s="43" t="str">
        <f aca="false">IF(H60&lt;&gt;"",IF(H60&gt;130000000,28,IF(H60&gt;64000000,27,IF(H60&gt;320000000,26,IF(H60&gt;16000000,25,IF(H60&gt;8000000,24,IF(H60&gt;4000000,23,IF(H60&gt;2000000,22,IF(H60&gt;1000000,21,IF(H60&gt;500000,20,IF(H60&gt;250000,19,IF(H60&gt;130000,18,IF(H60&gt;64000,17,IF(H60&gt;32000,16,IF(H60&gt;16000,15,IF(H60&gt;8000,14,IF(H60&gt;4000,13,IF(H60&gt;2000,12,IF(H60&gt;1000,11,IF(H60&gt;500,10,IF(H60&gt;250,9,IF(H60&gt;130,8,IF(H60&gt;64,7,IF(H60&gt;32,6,IF(H60&gt;16,5,IF(H60&gt;8,4,IF(H60&gt;4,3,IF(H60&gt;2,2,IF(H60&gt;1,1,IF(H60&gt;0.5,0,IF(H60=0,0)))))))))))))))))))))))))))))),"")</f>
        <v/>
      </c>
      <c r="I73" s="43" t="str">
        <f aca="false">IF(I60&lt;&gt;"",IF(I60&gt;130000000,28,IF(I60&gt;64000000,27,IF(I60&gt;320000000,26,IF(I60&gt;16000000,25,IF(I60&gt;8000000,24,IF(I60&gt;4000000,23,IF(I60&gt;2000000,22,IF(I60&gt;1000000,21,IF(I60&gt;500000,20,IF(I60&gt;250000,19,IF(I60&gt;130000,18,IF(I60&gt;64000,17,IF(I60&gt;32000,16,IF(I60&gt;16000,15,IF(I60&gt;8000,14,IF(I60&gt;4000,13,IF(I60&gt;2000,12,IF(I60&gt;1000,11,IF(I60&gt;500,10,IF(I60&gt;250,9,IF(I60&gt;130,8,IF(I60&gt;64,7,IF(I60&gt;32,6,IF(I60&gt;16,5,IF(I60&gt;8,4,IF(I60&gt;4,3,IF(I60&gt;2,2,IF(I60&gt;1,1,IF(I60&gt;0.5,0,IF(I60=0,0)))))))))))))))))))))))))))))),"")</f>
        <v/>
      </c>
      <c r="J73" s="43" t="str">
        <f aca="false">IF(J60&lt;&gt;"",IF(J60&gt;130000000,28,IF(J60&gt;64000000,27,IF(J60&gt;320000000,26,IF(J60&gt;16000000,25,IF(J60&gt;8000000,24,IF(J60&gt;4000000,23,IF(J60&gt;2000000,22,IF(J60&gt;1000000,21,IF(J60&gt;500000,20,IF(J60&gt;250000,19,IF(J60&gt;130000,18,IF(J60&gt;64000,17,IF(J60&gt;32000,16,IF(J60&gt;16000,15,IF(J60&gt;8000,14,IF(J60&gt;4000,13,IF(J60&gt;2000,12,IF(J60&gt;1000,11,IF(J60&gt;500,10,IF(J60&gt;250,9,IF(J60&gt;130,8,IF(J60&gt;64,7,IF(J60&gt;32,6,IF(J60&gt;16,5,IF(J60&gt;8,4,IF(J60&gt;4,3,IF(J60&gt;2,2,IF(J60&gt;1,1,IF(J60&gt;0.5,0,IF(J60=0,0)))))))))))))))))))))))))))))),"")</f>
        <v/>
      </c>
      <c r="K73" s="43" t="str">
        <f aca="false">IF(K60&lt;&gt;"",IF(K60&gt;130000000,28,IF(K60&gt;64000000,27,IF(K60&gt;320000000,26,IF(K60&gt;16000000,25,IF(K60&gt;8000000,24,IF(K60&gt;4000000,23,IF(K60&gt;2000000,22,IF(K60&gt;1000000,21,IF(K60&gt;500000,20,IF(K60&gt;250000,19,IF(K60&gt;130000,18,IF(K60&gt;64000,17,IF(K60&gt;32000,16,IF(K60&gt;16000,15,IF(K60&gt;8000,14,IF(K60&gt;4000,13,IF(K60&gt;2000,12,IF(K60&gt;1000,11,IF(K60&gt;500,10,IF(K60&gt;250,9,IF(K60&gt;130,8,IF(K60&gt;64,7,IF(K60&gt;32,6,IF(K60&gt;16,5,IF(K60&gt;8,4,IF(K60&gt;4,3,IF(K60&gt;2,2,IF(K60&gt;1,1,IF(K60&gt;0.5,0,IF(K60=0,0)))))))))))))))))))))))))))))),"")</f>
        <v/>
      </c>
      <c r="L73" s="43" t="str">
        <f aca="false">IF(L60&lt;&gt;"",IF(L60&gt;130000000,28,IF(L60&gt;64000000,27,IF(L60&gt;320000000,26,IF(L60&gt;16000000,25,IF(L60&gt;8000000,24,IF(L60&gt;4000000,23,IF(L60&gt;2000000,22,IF(L60&gt;1000000,21,IF(L60&gt;500000,20,IF(L60&gt;250000,19,IF(L60&gt;130000,18,IF(L60&gt;64000,17,IF(L60&gt;32000,16,IF(L60&gt;16000,15,IF(L60&gt;8000,14,IF(L60&gt;4000,13,IF(L60&gt;2000,12,IF(L60&gt;1000,11,IF(L60&gt;500,10,IF(L60&gt;250,9,IF(L60&gt;130,8,IF(L60&gt;64,7,IF(L60&gt;32,6,IF(L60&gt;16,5,IF(L60&gt;8,4,IF(L60&gt;4,3,IF(L60&gt;2,2,IF(L60&gt;1,1,IF(L60&gt;0.5,0,IF(L60=0,0)))))))))))))))))))))))))))))),"")</f>
        <v/>
      </c>
      <c r="M73" s="43" t="str">
        <f aca="false">IF(M60&lt;&gt;"",IF(M60&gt;130000000,28,IF(M60&gt;64000000,27,IF(M60&gt;320000000,26,IF(M60&gt;16000000,25,IF(M60&gt;8000000,24,IF(M60&gt;4000000,23,IF(M60&gt;2000000,22,IF(M60&gt;1000000,21,IF(M60&gt;500000,20,IF(M60&gt;250000,19,IF(M60&gt;130000,18,IF(M60&gt;64000,17,IF(M60&gt;32000,16,IF(M60&gt;16000,15,IF(M60&gt;8000,14,IF(M60&gt;4000,13,IF(M60&gt;2000,12,IF(M60&gt;1000,11,IF(M60&gt;500,10,IF(M60&gt;250,9,IF(M60&gt;130,8,IF(M60&gt;64,7,IF(M60&gt;32,6,IF(M60&gt;16,5,IF(M60&gt;8,4,IF(M60&gt;4,3,IF(M60&gt;2,2,IF(M60&gt;1,1,IF(M60&gt;0.5,0,IF(M60=0,0)))))))))))))))))))))))))))))),"")</f>
        <v/>
      </c>
      <c r="N73" s="43" t="str">
        <f aca="false">IF(N60&lt;&gt;"",IF(N60&gt;130000000,28,IF(N60&gt;64000000,27,IF(N60&gt;320000000,26,IF(N60&gt;16000000,25,IF(N60&gt;8000000,24,IF(N60&gt;4000000,23,IF(N60&gt;2000000,22,IF(N60&gt;1000000,21,IF(N60&gt;500000,20,IF(N60&gt;250000,19,IF(N60&gt;130000,18,IF(N60&gt;64000,17,IF(N60&gt;32000,16,IF(N60&gt;16000,15,IF(N60&gt;8000,14,IF(N60&gt;4000,13,IF(N60&gt;2000,12,IF(N60&gt;1000,11,IF(N60&gt;500,10,IF(N60&gt;250,9,IF(N60&gt;130,8,IF(N60&gt;64,7,IF(N60&gt;32,6,IF(N60&gt;16,5,IF(N60&gt;8,4,IF(N60&gt;4,3,IF(N60&gt;2,2,IF(N60&gt;1,1,IF(N60&gt;0.5,0,IF(N60=0,0)))))))))))))))))))))))))))))),"")</f>
        <v/>
      </c>
      <c r="O73" s="43" t="str">
        <f aca="false">IF(O60&lt;&gt;"",IF(O60&gt;130000000,28,IF(O60&gt;64000000,27,IF(O60&gt;320000000,26,IF(O60&gt;16000000,25,IF(O60&gt;8000000,24,IF(O60&gt;4000000,23,IF(O60&gt;2000000,22,IF(O60&gt;1000000,21,IF(O60&gt;500000,20,IF(O60&gt;250000,19,IF(O60&gt;130000,18,IF(O60&gt;64000,17,IF(O60&gt;32000,16,IF(O60&gt;16000,15,IF(O60&gt;8000,14,IF(O60&gt;4000,13,IF(O60&gt;2000,12,IF(O60&gt;1000,11,IF(O60&gt;500,10,IF(O60&gt;250,9,IF(O60&gt;130,8,IF(O60&gt;64,7,IF(O60&gt;32,6,IF(O60&gt;16,5,IF(O60&gt;8,4,IF(O60&gt;4,3,IF(O60&gt;2,2,IF(O60&gt;1,1,IF(O60&gt;0.5,0,IF(O60=0,0)))))))))))))))))))))))))))))),"")</f>
        <v/>
      </c>
      <c r="P73" s="43" t="str">
        <f aca="false">IF(P60&lt;&gt;"",IF(P60&gt;130000000,28,IF(P60&gt;64000000,27,IF(P60&gt;320000000,26,IF(P60&gt;16000000,25,IF(P60&gt;8000000,24,IF(P60&gt;4000000,23,IF(P60&gt;2000000,22,IF(P60&gt;1000000,21,IF(P60&gt;500000,20,IF(P60&gt;250000,19,IF(P60&gt;130000,18,IF(P60&gt;64000,17,IF(P60&gt;32000,16,IF(P60&gt;16000,15,IF(P60&gt;8000,14,IF(P60&gt;4000,13,IF(P60&gt;2000,12,IF(P60&gt;1000,11,IF(P60&gt;500,10,IF(P60&gt;250,9,IF(P60&gt;130,8,IF(P60&gt;64,7,IF(P60&gt;32,6,IF(P60&gt;16,5,IF(P60&gt;8,4,IF(P60&gt;4,3,IF(P60&gt;2,2,IF(P60&gt;1,1,IF(P60&gt;0.5,0,IF(P60=0,0)))))))))))))))))))))))))))))),"")</f>
        <v/>
      </c>
      <c r="Q73" s="43" t="str">
        <f aca="false">IF(Q60&lt;&gt;"",IF(Q60&gt;130000000,28,IF(Q60&gt;64000000,27,IF(Q60&gt;320000000,26,IF(Q60&gt;16000000,25,IF(Q60&gt;8000000,24,IF(Q60&gt;4000000,23,IF(Q60&gt;2000000,22,IF(Q60&gt;1000000,21,IF(Q60&gt;500000,20,IF(Q60&gt;250000,19,IF(Q60&gt;130000,18,IF(Q60&gt;64000,17,IF(Q60&gt;32000,16,IF(Q60&gt;16000,15,IF(Q60&gt;8000,14,IF(Q60&gt;4000,13,IF(Q60&gt;2000,12,IF(Q60&gt;1000,11,IF(Q60&gt;500,10,IF(Q60&gt;250,9,IF(Q60&gt;130,8,IF(Q60&gt;64,7,IF(Q60&gt;32,6,IF(Q60&gt;16,5,IF(Q60&gt;8,4,IF(Q60&gt;4,3,IF(Q60&gt;2,2,IF(Q60&gt;1,1,IF(Q60&gt;0.5,0,IF(Q60=0,0)))))))))))))))))))))))))))))),"")</f>
        <v/>
      </c>
      <c r="R73" s="43" t="str">
        <f aca="false">IF(R60&lt;&gt;"",IF(R60&gt;130000000,28,IF(R60&gt;64000000,27,IF(R60&gt;320000000,26,IF(R60&gt;16000000,25,IF(R60&gt;8000000,24,IF(R60&gt;4000000,23,IF(R60&gt;2000000,22,IF(R60&gt;1000000,21,IF(R60&gt;500000,20,IF(R60&gt;250000,19,IF(R60&gt;130000,18,IF(R60&gt;64000,17,IF(R60&gt;32000,16,IF(R60&gt;16000,15,IF(R60&gt;8000,14,IF(R60&gt;4000,13,IF(R60&gt;2000,12,IF(R60&gt;1000,11,IF(R60&gt;500,10,IF(R60&gt;250,9,IF(R60&gt;130,8,IF(R60&gt;64,7,IF(R60&gt;32,6,IF(R60&gt;16,5,IF(R60&gt;8,4,IF(R60&gt;4,3,IF(R60&gt;2,2,IF(R60&gt;1,1,IF(R60&gt;0.5,0,IF(R60=0,0)))))))))))))))))))))))))))))),"")</f>
        <v/>
      </c>
      <c r="S73" s="43" t="str">
        <f aca="false">IF(S60&lt;&gt;"",IF(S60&gt;130000000,28,IF(S60&gt;64000000,27,IF(S60&gt;320000000,26,IF(S60&gt;16000000,25,IF(S60&gt;8000000,24,IF(S60&gt;4000000,23,IF(S60&gt;2000000,22,IF(S60&gt;1000000,21,IF(S60&gt;500000,20,IF(S60&gt;250000,19,IF(S60&gt;130000,18,IF(S60&gt;64000,17,IF(S60&gt;32000,16,IF(S60&gt;16000,15,IF(S60&gt;8000,14,IF(S60&gt;4000,13,IF(S60&gt;2000,12,IF(S60&gt;1000,11,IF(S60&gt;500,10,IF(S60&gt;250,9,IF(S60&gt;130,8,IF(S60&gt;64,7,IF(S60&gt;32,6,IF(S60&gt;16,5,IF(S60&gt;8,4,IF(S60&gt;4,3,IF(S60&gt;2,2,IF(S60&gt;1,1,IF(S60&gt;0.5,0,IF(S60=0,0)))))))))))))))))))))))))))))),"")</f>
        <v/>
      </c>
      <c r="T73" s="43" t="str">
        <f aca="false">IF(T60&lt;&gt;"",IF(T60&gt;130000000,28,IF(T60&gt;64000000,27,IF(T60&gt;320000000,26,IF(T60&gt;16000000,25,IF(T60&gt;8000000,24,IF(T60&gt;4000000,23,IF(T60&gt;2000000,22,IF(T60&gt;1000000,21,IF(T60&gt;500000,20,IF(T60&gt;250000,19,IF(T60&gt;130000,18,IF(T60&gt;64000,17,IF(T60&gt;32000,16,IF(T60&gt;16000,15,IF(T60&gt;8000,14,IF(T60&gt;4000,13,IF(T60&gt;2000,12,IF(T60&gt;1000,11,IF(T60&gt;500,10,IF(T60&gt;250,9,IF(T60&gt;130,8,IF(T60&gt;64,7,IF(T60&gt;32,6,IF(T60&gt;16,5,IF(T60&gt;8,4,IF(T60&gt;4,3,IF(T60&gt;2,2,IF(T60&gt;1,1,IF(T60&gt;0.5,0,IF(T60=0,0)))))))))))))))))))))))))))))),"")</f>
        <v/>
      </c>
      <c r="U73" s="43" t="str">
        <f aca="false">IF(U60&lt;&gt;"",IF(U60&gt;130000000,28,IF(U60&gt;64000000,27,IF(U60&gt;320000000,26,IF(U60&gt;16000000,25,IF(U60&gt;8000000,24,IF(U60&gt;4000000,23,IF(U60&gt;2000000,22,IF(U60&gt;1000000,21,IF(U60&gt;500000,20,IF(U60&gt;250000,19,IF(U60&gt;130000,18,IF(U60&gt;64000,17,IF(U60&gt;32000,16,IF(U60&gt;16000,15,IF(U60&gt;8000,14,IF(U60&gt;4000,13,IF(U60&gt;2000,12,IF(U60&gt;1000,11,IF(U60&gt;500,10,IF(U60&gt;250,9,IF(U60&gt;130,8,IF(U60&gt;64,7,IF(U60&gt;32,6,IF(U60&gt;16,5,IF(U60&gt;8,4,IF(U60&gt;4,3,IF(U60&gt;2,2,IF(U60&gt;1,1,IF(U60&gt;0.5,0,IF(U60=0,0)))))))))))))))))))))))))))))),"")</f>
        <v/>
      </c>
      <c r="V73" s="43" t="str">
        <f aca="false">IF(V60&lt;&gt;"",IF(V60&gt;130000000,28,IF(V60&gt;64000000,27,IF(V60&gt;320000000,26,IF(V60&gt;16000000,25,IF(V60&gt;8000000,24,IF(V60&gt;4000000,23,IF(V60&gt;2000000,22,IF(V60&gt;1000000,21,IF(V60&gt;500000,20,IF(V60&gt;250000,19,IF(V60&gt;130000,18,IF(V60&gt;64000,17,IF(V60&gt;32000,16,IF(V60&gt;16000,15,IF(V60&gt;8000,14,IF(V60&gt;4000,13,IF(V60&gt;2000,12,IF(V60&gt;1000,11,IF(V60&gt;500,10,IF(V60&gt;250,9,IF(V60&gt;130,8,IF(V60&gt;64,7,IF(V60&gt;32,6,IF(V60&gt;16,5,IF(V60&gt;8,4,IF(V60&gt;4,3,IF(V60&gt;2,2,IF(V60&gt;1,1,IF(V60&gt;0.5,0,IF(V60=0,0)))))))))))))))))))))))))))))),"")</f>
        <v/>
      </c>
      <c r="W73" s="43" t="str">
        <f aca="false">IF(W60&lt;&gt;"",IF(W60&gt;130000000,28,IF(W60&gt;64000000,27,IF(W60&gt;320000000,26,IF(W60&gt;16000000,25,IF(W60&gt;8000000,24,IF(W60&gt;4000000,23,IF(W60&gt;2000000,22,IF(W60&gt;1000000,21,IF(W60&gt;500000,20,IF(W60&gt;250000,19,IF(W60&gt;130000,18,IF(W60&gt;64000,17,IF(W60&gt;32000,16,IF(W60&gt;16000,15,IF(W60&gt;8000,14,IF(W60&gt;4000,13,IF(W60&gt;2000,12,IF(W60&gt;1000,11,IF(W60&gt;500,10,IF(W60&gt;250,9,IF(W60&gt;130,8,IF(W60&gt;64,7,IF(W60&gt;32,6,IF(W60&gt;16,5,IF(W60&gt;8,4,IF(W60&gt;4,3,IF(W60&gt;2,2,IF(W60&gt;1,1,IF(W60&gt;0.5,0,IF(W60=0,0)))))))))))))))))))))))))))))),"")</f>
        <v/>
      </c>
      <c r="X73" s="43" t="str">
        <f aca="false">IF(X60&lt;&gt;"",IF(X60&gt;130000000,28,IF(X60&gt;64000000,27,IF(X60&gt;320000000,26,IF(X60&gt;16000000,25,IF(X60&gt;8000000,24,IF(X60&gt;4000000,23,IF(X60&gt;2000000,22,IF(X60&gt;1000000,21,IF(X60&gt;500000,20,IF(X60&gt;250000,19,IF(X60&gt;130000,18,IF(X60&gt;64000,17,IF(X60&gt;32000,16,IF(X60&gt;16000,15,IF(X60&gt;8000,14,IF(X60&gt;4000,13,IF(X60&gt;2000,12,IF(X60&gt;1000,11,IF(X60&gt;500,10,IF(X60&gt;250,9,IF(X60&gt;130,8,IF(X60&gt;64,7,IF(X60&gt;32,6,IF(X60&gt;16,5,IF(X60&gt;8,4,IF(X60&gt;4,3,IF(X60&gt;2,2,IF(X60&gt;1,1,IF(X60&gt;0.5,0,IF(X60=0,0)))))))))))))))))))))))))))))),"")</f>
        <v/>
      </c>
      <c r="Y73" s="43" t="str">
        <f aca="false">IF(Y60&lt;&gt;"",IF(Y60&gt;130000000,28,IF(Y60&gt;64000000,27,IF(Y60&gt;320000000,26,IF(Y60&gt;16000000,25,IF(Y60&gt;8000000,24,IF(Y60&gt;4000000,23,IF(Y60&gt;2000000,22,IF(Y60&gt;1000000,21,IF(Y60&gt;500000,20,IF(Y60&gt;250000,19,IF(Y60&gt;130000,18,IF(Y60&gt;64000,17,IF(Y60&gt;32000,16,IF(Y60&gt;16000,15,IF(Y60&gt;8000,14,IF(Y60&gt;4000,13,IF(Y60&gt;2000,12,IF(Y60&gt;1000,11,IF(Y60&gt;500,10,IF(Y60&gt;250,9,IF(Y60&gt;130,8,IF(Y60&gt;64,7,IF(Y60&gt;32,6,IF(Y60&gt;16,5,IF(Y60&gt;8,4,IF(Y60&gt;4,3,IF(Y60&gt;2,2,IF(Y60&gt;1,1,IF(Y60&gt;0.5,0,IF(Y60=0,0)))))))))))))))))))))))))))))),"")</f>
        <v/>
      </c>
      <c r="Z73" s="43" t="str">
        <f aca="false">IF(Z60&lt;&gt;"",IF(Z60&gt;130000000,28,IF(Z60&gt;64000000,27,IF(Z60&gt;320000000,26,IF(Z60&gt;16000000,25,IF(Z60&gt;8000000,24,IF(Z60&gt;4000000,23,IF(Z60&gt;2000000,22,IF(Z60&gt;1000000,21,IF(Z60&gt;500000,20,IF(Z60&gt;250000,19,IF(Z60&gt;130000,18,IF(Z60&gt;64000,17,IF(Z60&gt;32000,16,IF(Z60&gt;16000,15,IF(Z60&gt;8000,14,IF(Z60&gt;4000,13,IF(Z60&gt;2000,12,IF(Z60&gt;1000,11,IF(Z60&gt;500,10,IF(Z60&gt;250,9,IF(Z60&gt;130,8,IF(Z60&gt;64,7,IF(Z60&gt;32,6,IF(Z60&gt;16,5,IF(Z60&gt;8,4,IF(Z60&gt;4,3,IF(Z60&gt;2,2,IF(Z60&gt;1,1,IF(Z60&gt;0.5,0,IF(Z60=0,0)))))))))))))))))))))))))))))),"")</f>
        <v/>
      </c>
      <c r="AA73" s="43" t="str">
        <f aca="false">IF(AA60&lt;&gt;"",IF(AA60&gt;130000000,28,IF(AA60&gt;64000000,27,IF(AA60&gt;320000000,26,IF(AA60&gt;16000000,25,IF(AA60&gt;8000000,24,IF(AA60&gt;4000000,23,IF(AA60&gt;2000000,22,IF(AA60&gt;1000000,21,IF(AA60&gt;500000,20,IF(AA60&gt;250000,19,IF(AA60&gt;130000,18,IF(AA60&gt;64000,17,IF(AA60&gt;32000,16,IF(AA60&gt;16000,15,IF(AA60&gt;8000,14,IF(AA60&gt;4000,13,IF(AA60&gt;2000,12,IF(AA60&gt;1000,11,IF(AA60&gt;500,10,IF(AA60&gt;250,9,IF(AA60&gt;130,8,IF(AA60&gt;64,7,IF(AA60&gt;32,6,IF(AA60&gt;16,5,IF(AA60&gt;8,4,IF(AA60&gt;4,3,IF(AA60&gt;2,2,IF(AA60&gt;1,1,IF(AA60&gt;0.5,0,IF(AA60=0,0)))))))))))))))))))))))))))))),"")</f>
        <v/>
      </c>
      <c r="AB73" s="43" t="str">
        <f aca="false">IF(AB60&lt;&gt;"",IF(AB60&gt;130000000,28,IF(AB60&gt;64000000,27,IF(AB60&gt;320000000,26,IF(AB60&gt;16000000,25,IF(AB60&gt;8000000,24,IF(AB60&gt;4000000,23,IF(AB60&gt;2000000,22,IF(AB60&gt;1000000,21,IF(AB60&gt;500000,20,IF(AB60&gt;250000,19,IF(AB60&gt;130000,18,IF(AB60&gt;64000,17,IF(AB60&gt;32000,16,IF(AB60&gt;16000,15,IF(AB60&gt;8000,14,IF(AB60&gt;4000,13,IF(AB60&gt;2000,12,IF(AB60&gt;1000,11,IF(AB60&gt;500,10,IF(AB60&gt;250,9,IF(AB60&gt;130,8,IF(AB60&gt;64,7,IF(AB60&gt;32,6,IF(AB60&gt;16,5,IF(AB60&gt;8,4,IF(AB60&gt;4,3,IF(AB60&gt;2,2,IF(AB60&gt;1,1,IF(AB60&gt;0.5,0,IF(AB60=0,0)))))))))))))))))))))))))))))),"")</f>
        <v/>
      </c>
      <c r="AC73" s="43" t="str">
        <f aca="false">IF(AC60&lt;&gt;"",IF(AC60&gt;130000000,28,IF(AC60&gt;64000000,27,IF(AC60&gt;320000000,26,IF(AC60&gt;16000000,25,IF(AC60&gt;8000000,24,IF(AC60&gt;4000000,23,IF(AC60&gt;2000000,22,IF(AC60&gt;1000000,21,IF(AC60&gt;500000,20,IF(AC60&gt;250000,19,IF(AC60&gt;130000,18,IF(AC60&gt;64000,17,IF(AC60&gt;32000,16,IF(AC60&gt;16000,15,IF(AC60&gt;8000,14,IF(AC60&gt;4000,13,IF(AC60&gt;2000,12,IF(AC60&gt;1000,11,IF(AC60&gt;500,10,IF(AC60&gt;250,9,IF(AC60&gt;130,8,IF(AC60&gt;64,7,IF(AC60&gt;32,6,IF(AC60&gt;16,5,IF(AC60&gt;8,4,IF(AC60&gt;4,3,IF(AC60&gt;2,2,IF(AC60&gt;1,1,IF(AC60&gt;0.5,0,IF(AC60=0,0)))))))))))))))))))))))))))))),"")</f>
        <v/>
      </c>
      <c r="AD73" s="43" t="str">
        <f aca="false">IF(AD60&lt;&gt;"",IF(AD60&gt;130000000,28,IF(AD60&gt;64000000,27,IF(AD60&gt;320000000,26,IF(AD60&gt;16000000,25,IF(AD60&gt;8000000,24,IF(AD60&gt;4000000,23,IF(AD60&gt;2000000,22,IF(AD60&gt;1000000,21,IF(AD60&gt;500000,20,IF(AD60&gt;250000,19,IF(AD60&gt;130000,18,IF(AD60&gt;64000,17,IF(AD60&gt;32000,16,IF(AD60&gt;16000,15,IF(AD60&gt;8000,14,IF(AD60&gt;4000,13,IF(AD60&gt;2000,12,IF(AD60&gt;1000,11,IF(AD60&gt;500,10,IF(AD60&gt;250,9,IF(AD60&gt;130,8,IF(AD60&gt;64,7,IF(AD60&gt;32,6,IF(AD60&gt;16,5,IF(AD60&gt;8,4,IF(AD60&gt;4,3,IF(AD60&gt;2,2,IF(AD60&gt;1,1,IF(AD60&gt;0.5,0,IF(AD60=0,0)))))))))))))))))))))))))))))),"")</f>
        <v/>
      </c>
      <c r="AE73" s="43" t="str">
        <f aca="false">IF(AE60&lt;&gt;"",IF(AE60&gt;130000000,28,IF(AE60&gt;64000000,27,IF(AE60&gt;320000000,26,IF(AE60&gt;16000000,25,IF(AE60&gt;8000000,24,IF(AE60&gt;4000000,23,IF(AE60&gt;2000000,22,IF(AE60&gt;1000000,21,IF(AE60&gt;500000,20,IF(AE60&gt;250000,19,IF(AE60&gt;130000,18,IF(AE60&gt;64000,17,IF(AE60&gt;32000,16,IF(AE60&gt;16000,15,IF(AE60&gt;8000,14,IF(AE60&gt;4000,13,IF(AE60&gt;2000,12,IF(AE60&gt;1000,11,IF(AE60&gt;500,10,IF(AE60&gt;250,9,IF(AE60&gt;130,8,IF(AE60&gt;64,7,IF(AE60&gt;32,6,IF(AE60&gt;16,5,IF(AE60&gt;8,4,IF(AE60&gt;4,3,IF(AE60&gt;2,2,IF(AE60&gt;1,1,IF(AE60&gt;0.5,0,IF(AE60=0,0)))))))))))))))))))))))))))))),"")</f>
        <v/>
      </c>
      <c r="AF73" s="43" t="str">
        <f aca="false">IF(AF60&lt;&gt;"",IF(AF60&gt;130000000,28,IF(AF60&gt;64000000,27,IF(AF60&gt;320000000,26,IF(AF60&gt;16000000,25,IF(AF60&gt;8000000,24,IF(AF60&gt;4000000,23,IF(AF60&gt;2000000,22,IF(AF60&gt;1000000,21,IF(AF60&gt;500000,20,IF(AF60&gt;250000,19,IF(AF60&gt;130000,18,IF(AF60&gt;64000,17,IF(AF60&gt;32000,16,IF(AF60&gt;16000,15,IF(AF60&gt;8000,14,IF(AF60&gt;4000,13,IF(AF60&gt;2000,12,IF(AF60&gt;1000,11,IF(AF60&gt;500,10,IF(AF60&gt;250,9,IF(AF60&gt;130,8,IF(AF60&gt;64,7,IF(AF60&gt;32,6,IF(AF60&gt;16,5,IF(AF60&gt;8,4,IF(AF60&gt;4,3,IF(AF60&gt;2,2,IF(AF60&gt;1,1,IF(AF60&gt;0.5,0,IF(AF60=0,0)))))))))))))))))))))))))))))),"")</f>
        <v/>
      </c>
      <c r="AG73" s="43" t="str">
        <f aca="false">IF(AG60&lt;&gt;"",IF(AG60&gt;130000000,28,IF(AG60&gt;64000000,27,IF(AG60&gt;320000000,26,IF(AG60&gt;16000000,25,IF(AG60&gt;8000000,24,IF(AG60&gt;4000000,23,IF(AG60&gt;2000000,22,IF(AG60&gt;1000000,21,IF(AG60&gt;500000,20,IF(AG60&gt;250000,19,IF(AG60&gt;130000,18,IF(AG60&gt;64000,17,IF(AG60&gt;32000,16,IF(AG60&gt;16000,15,IF(AG60&gt;8000,14,IF(AG60&gt;4000,13,IF(AG60&gt;2000,12,IF(AG60&gt;1000,11,IF(AG60&gt;500,10,IF(AG60&gt;250,9,IF(AG60&gt;130,8,IF(AG60&gt;64,7,IF(AG60&gt;32,6,IF(AG60&gt;16,5,IF(AG60&gt;8,4,IF(AG60&gt;4,3,IF(AG60&gt;2,2,IF(AG60&gt;1,1,IF(AG60&gt;0.5,0,IF(AG60=0,0)))))))))))))))))))))))))))))),"")</f>
        <v/>
      </c>
      <c r="AH73" s="43" t="str">
        <f aca="false">IF(AH60&lt;&gt;"",IF(AH60&gt;130000000,28,IF(AH60&gt;64000000,27,IF(AH60&gt;320000000,26,IF(AH60&gt;16000000,25,IF(AH60&gt;8000000,24,IF(AH60&gt;4000000,23,IF(AH60&gt;2000000,22,IF(AH60&gt;1000000,21,IF(AH60&gt;500000,20,IF(AH60&gt;250000,19,IF(AH60&gt;130000,18,IF(AH60&gt;64000,17,IF(AH60&gt;32000,16,IF(AH60&gt;16000,15,IF(AH60&gt;8000,14,IF(AH60&gt;4000,13,IF(AH60&gt;2000,12,IF(AH60&gt;1000,11,IF(AH60&gt;500,10,IF(AH60&gt;250,9,IF(AH60&gt;130,8,IF(AH60&gt;64,7,IF(AH60&gt;32,6,IF(AH60&gt;16,5,IF(AH60&gt;8,4,IF(AH60&gt;4,3,IF(AH60&gt;2,2,IF(AH60&gt;1,1,IF(AH60&gt;0.5,0,IF(AH60=0,0)))))))))))))))))))))))))))))),"")</f>
        <v/>
      </c>
      <c r="AI73" s="43" t="str">
        <f aca="false">IF(AI60&lt;&gt;"",IF(AI60&gt;130000000,28,IF(AI60&gt;64000000,27,IF(AI60&gt;320000000,26,IF(AI60&gt;16000000,25,IF(AI60&gt;8000000,24,IF(AI60&gt;4000000,23,IF(AI60&gt;2000000,22,IF(AI60&gt;1000000,21,IF(AI60&gt;500000,20,IF(AI60&gt;250000,19,IF(AI60&gt;130000,18,IF(AI60&gt;64000,17,IF(AI60&gt;32000,16,IF(AI60&gt;16000,15,IF(AI60&gt;8000,14,IF(AI60&gt;4000,13,IF(AI60&gt;2000,12,IF(AI60&gt;1000,11,IF(AI60&gt;500,10,IF(AI60&gt;250,9,IF(AI60&gt;130,8,IF(AI60&gt;64,7,IF(AI60&gt;32,6,IF(AI60&gt;16,5,IF(AI60&gt;8,4,IF(AI60&gt;4,3,IF(AI60&gt;2,2,IF(AI60&gt;1,1,IF(AI60&gt;0.5,0,IF(AI60=0,0)))))))))))))))))))))))))))))),"")</f>
        <v/>
      </c>
      <c r="AJ73" s="43" t="str">
        <f aca="false">IF(AJ60&lt;&gt;"",IF(AJ60&gt;130000000,28,IF(AJ60&gt;64000000,27,IF(AJ60&gt;320000000,26,IF(AJ60&gt;16000000,25,IF(AJ60&gt;8000000,24,IF(AJ60&gt;4000000,23,IF(AJ60&gt;2000000,22,IF(AJ60&gt;1000000,21,IF(AJ60&gt;500000,20,IF(AJ60&gt;250000,19,IF(AJ60&gt;130000,18,IF(AJ60&gt;64000,17,IF(AJ60&gt;32000,16,IF(AJ60&gt;16000,15,IF(AJ60&gt;8000,14,IF(AJ60&gt;4000,13,IF(AJ60&gt;2000,12,IF(AJ60&gt;1000,11,IF(AJ60&gt;500,10,IF(AJ60&gt;250,9,IF(AJ60&gt;130,8,IF(AJ60&gt;64,7,IF(AJ60&gt;32,6,IF(AJ60&gt;16,5,IF(AJ60&gt;8,4,IF(AJ60&gt;4,3,IF(AJ60&gt;2,2,IF(AJ60&gt;1,1,IF(AJ60&gt;0.5,0,IF(AJ60=0,0)))))))))))))))))))))))))))))),"")</f>
        <v/>
      </c>
      <c r="AK73" s="44" t="str">
        <f aca="false">IF(AK60&lt;&gt;"",IF(AK60&gt;130000000,28,IF(AK60&gt;64000000,27,IF(AK60&gt;320000000,26,IF(AK60&gt;16000000,25,IF(AK60&gt;8000000,24,IF(AK60&gt;4000000,23,IF(AK60&gt;2000000,22,IF(AK60&gt;1000000,21,IF(AK60&gt;500000,20,IF(AK60&gt;250000,19,IF(AK60&gt;130000,18,IF(AK60&gt;64000,17,IF(AK60&gt;32000,16,IF(AK60&gt;16000,15,IF(AK60&gt;8000,14,IF(AK60&gt;4000,13,IF(AK60&gt;2000,12,IF(AK60&gt;1000,11,IF(AK60&gt;500,10,IF(AK60&gt;250,9,IF(AK60&gt;130,8,IF(AK60&gt;64,7,IF(AK60&gt;32,6,IF(AK60&gt;16,5,IF(AK60&gt;8,4,IF(AK60&gt;4,3,IF(AK60&gt;2,2,IF(AK60&gt;1,1,IF(AK60&gt;0.5,0,IF(AK60=0,0)))))))))))))))))))))))))))))),"")</f>
        <v/>
      </c>
      <c r="AL73" s="33"/>
      <c r="AM73" s="34"/>
      <c r="AN73" s="34"/>
      <c r="AO73" s="34"/>
      <c r="AP73" s="34"/>
      <c r="AQ73" s="34"/>
      <c r="AR73" s="40"/>
    </row>
    <row r="74" s="37" customFormat="true" ht="13.8" hidden="false" customHeight="false" outlineLevel="0" collapsed="false">
      <c r="A74" s="31"/>
      <c r="B74" s="36"/>
      <c r="C74" s="37" t="s">
        <v>110</v>
      </c>
      <c r="D74" s="37" t="s">
        <v>139</v>
      </c>
      <c r="E74" s="47" t="str">
        <f aca="false">IF(E61&lt;&gt;"",IF(E61&gt;130000000,28,IF(E61&gt;64000000,27,IF(E61&gt;320000000,26,IF(E61&gt;16000000,25,IF(E61&gt;8000000,24,IF(E61&gt;4000000,23,IF(E61&gt;2000000,22,IF(E61&gt;1000000,21,IF(E61&gt;500000,20,IF(E61&gt;250000,19,IF(E61&gt;130000,18,IF(E61&gt;64000,17,IF(E61&gt;32000,16,IF(E61&gt;16000,15,IF(E61&gt;8000,14,IF(E61&gt;4000,13,IF(E61&gt;2000,12,IF(E61&gt;1000,11,IF(E61&gt;500,10,IF(E61&gt;250,9,IF(E61&gt;130,8,IF(E61&gt;64,7,IF(E61&gt;32,6,IF(E61&gt;16,5,IF(E61&gt;8,4,IF(E61&gt;4,3,IF(E61&gt;2,2,IF(E61&gt;1,1,IF(E61&gt;0.5,0,IF(E61=0,0)))))))))))))))))))))))))))))),"")</f>
        <v/>
      </c>
      <c r="F74" s="47" t="str">
        <f aca="false">IF(F61&lt;&gt;"",IF(F61&gt;130000000,28,IF(F61&gt;64000000,27,IF(F61&gt;320000000,26,IF(F61&gt;16000000,25,IF(F61&gt;8000000,24,IF(F61&gt;4000000,23,IF(F61&gt;2000000,22,IF(F61&gt;1000000,21,IF(F61&gt;500000,20,IF(F61&gt;250000,19,IF(F61&gt;130000,18,IF(F61&gt;64000,17,IF(F61&gt;32000,16,IF(F61&gt;16000,15,IF(F61&gt;8000,14,IF(F61&gt;4000,13,IF(F61&gt;2000,12,IF(F61&gt;1000,11,IF(F61&gt;500,10,IF(F61&gt;250,9,IF(F61&gt;130,8,IF(F61&gt;64,7,IF(F61&gt;32,6,IF(F61&gt;16,5,IF(F61&gt;8,4,IF(F61&gt;4,3,IF(F61&gt;2,2,IF(F61&gt;1,1,IF(F61&gt;0.5,0,IF(F61=0,0)))))))))))))))))))))))))))))),"")</f>
        <v/>
      </c>
      <c r="G74" s="47" t="str">
        <f aca="false">IF(G61&lt;&gt;"",IF(G61&gt;130000000,28,IF(G61&gt;64000000,27,IF(G61&gt;320000000,26,IF(G61&gt;16000000,25,IF(G61&gt;8000000,24,IF(G61&gt;4000000,23,IF(G61&gt;2000000,22,IF(G61&gt;1000000,21,IF(G61&gt;500000,20,IF(G61&gt;250000,19,IF(G61&gt;130000,18,IF(G61&gt;64000,17,IF(G61&gt;32000,16,IF(G61&gt;16000,15,IF(G61&gt;8000,14,IF(G61&gt;4000,13,IF(G61&gt;2000,12,IF(G61&gt;1000,11,IF(G61&gt;500,10,IF(G61&gt;250,9,IF(G61&gt;130,8,IF(G61&gt;64,7,IF(G61&gt;32,6,IF(G61&gt;16,5,IF(G61&gt;8,4,IF(G61&gt;4,3,IF(G61&gt;2,2,IF(G61&gt;1,1,IF(G61&gt;0.5,0,IF(G61=0,0)))))))))))))))))))))))))))))),"")</f>
        <v/>
      </c>
      <c r="H74" s="47" t="str">
        <f aca="false">IF(H61&lt;&gt;"",IF(H61&gt;130000000,28,IF(H61&gt;64000000,27,IF(H61&gt;320000000,26,IF(H61&gt;16000000,25,IF(H61&gt;8000000,24,IF(H61&gt;4000000,23,IF(H61&gt;2000000,22,IF(H61&gt;1000000,21,IF(H61&gt;500000,20,IF(H61&gt;250000,19,IF(H61&gt;130000,18,IF(H61&gt;64000,17,IF(H61&gt;32000,16,IF(H61&gt;16000,15,IF(H61&gt;8000,14,IF(H61&gt;4000,13,IF(H61&gt;2000,12,IF(H61&gt;1000,11,IF(H61&gt;500,10,IF(H61&gt;250,9,IF(H61&gt;130,8,IF(H61&gt;64,7,IF(H61&gt;32,6,IF(H61&gt;16,5,IF(H61&gt;8,4,IF(H61&gt;4,3,IF(H61&gt;2,2,IF(H61&gt;1,1,IF(H61&gt;0.5,0,IF(H61=0,0)))))))))))))))))))))))))))))),"")</f>
        <v/>
      </c>
      <c r="I74" s="47" t="str">
        <f aca="false">IF(I61&lt;&gt;"",IF(I61&gt;130000000,28,IF(I61&gt;64000000,27,IF(I61&gt;320000000,26,IF(I61&gt;16000000,25,IF(I61&gt;8000000,24,IF(I61&gt;4000000,23,IF(I61&gt;2000000,22,IF(I61&gt;1000000,21,IF(I61&gt;500000,20,IF(I61&gt;250000,19,IF(I61&gt;130000,18,IF(I61&gt;64000,17,IF(I61&gt;32000,16,IF(I61&gt;16000,15,IF(I61&gt;8000,14,IF(I61&gt;4000,13,IF(I61&gt;2000,12,IF(I61&gt;1000,11,IF(I61&gt;500,10,IF(I61&gt;250,9,IF(I61&gt;130,8,IF(I61&gt;64,7,IF(I61&gt;32,6,IF(I61&gt;16,5,IF(I61&gt;8,4,IF(I61&gt;4,3,IF(I61&gt;2,2,IF(I61&gt;1,1,IF(I61&gt;0.5,0,IF(I61=0,0)))))))))))))))))))))))))))))),"")</f>
        <v/>
      </c>
      <c r="J74" s="47" t="str">
        <f aca="false">IF(J61&lt;&gt;"",IF(J61&gt;130000000,28,IF(J61&gt;64000000,27,IF(J61&gt;320000000,26,IF(J61&gt;16000000,25,IF(J61&gt;8000000,24,IF(J61&gt;4000000,23,IF(J61&gt;2000000,22,IF(J61&gt;1000000,21,IF(J61&gt;500000,20,IF(J61&gt;250000,19,IF(J61&gt;130000,18,IF(J61&gt;64000,17,IF(J61&gt;32000,16,IF(J61&gt;16000,15,IF(J61&gt;8000,14,IF(J61&gt;4000,13,IF(J61&gt;2000,12,IF(J61&gt;1000,11,IF(J61&gt;500,10,IF(J61&gt;250,9,IF(J61&gt;130,8,IF(J61&gt;64,7,IF(J61&gt;32,6,IF(J61&gt;16,5,IF(J61&gt;8,4,IF(J61&gt;4,3,IF(J61&gt;2,2,IF(J61&gt;1,1,IF(J61&gt;0.5,0,IF(J61=0,0)))))))))))))))))))))))))))))),"")</f>
        <v/>
      </c>
      <c r="K74" s="47" t="str">
        <f aca="false">IF(K61&lt;&gt;"",IF(K61&gt;130000000,28,IF(K61&gt;64000000,27,IF(K61&gt;320000000,26,IF(K61&gt;16000000,25,IF(K61&gt;8000000,24,IF(K61&gt;4000000,23,IF(K61&gt;2000000,22,IF(K61&gt;1000000,21,IF(K61&gt;500000,20,IF(K61&gt;250000,19,IF(K61&gt;130000,18,IF(K61&gt;64000,17,IF(K61&gt;32000,16,IF(K61&gt;16000,15,IF(K61&gt;8000,14,IF(K61&gt;4000,13,IF(K61&gt;2000,12,IF(K61&gt;1000,11,IF(K61&gt;500,10,IF(K61&gt;250,9,IF(K61&gt;130,8,IF(K61&gt;64,7,IF(K61&gt;32,6,IF(K61&gt;16,5,IF(K61&gt;8,4,IF(K61&gt;4,3,IF(K61&gt;2,2,IF(K61&gt;1,1,IF(K61&gt;0.5,0,IF(K61=0,0)))))))))))))))))))))))))))))),"")</f>
        <v/>
      </c>
      <c r="L74" s="47" t="str">
        <f aca="false">IF(L61&lt;&gt;"",IF(L61&gt;130000000,28,IF(L61&gt;64000000,27,IF(L61&gt;320000000,26,IF(L61&gt;16000000,25,IF(L61&gt;8000000,24,IF(L61&gt;4000000,23,IF(L61&gt;2000000,22,IF(L61&gt;1000000,21,IF(L61&gt;500000,20,IF(L61&gt;250000,19,IF(L61&gt;130000,18,IF(L61&gt;64000,17,IF(L61&gt;32000,16,IF(L61&gt;16000,15,IF(L61&gt;8000,14,IF(L61&gt;4000,13,IF(L61&gt;2000,12,IF(L61&gt;1000,11,IF(L61&gt;500,10,IF(L61&gt;250,9,IF(L61&gt;130,8,IF(L61&gt;64,7,IF(L61&gt;32,6,IF(L61&gt;16,5,IF(L61&gt;8,4,IF(L61&gt;4,3,IF(L61&gt;2,2,IF(L61&gt;1,1,IF(L61&gt;0.5,0,IF(L61=0,0)))))))))))))))))))))))))))))),"")</f>
        <v/>
      </c>
      <c r="M74" s="47" t="str">
        <f aca="false">IF(M61&lt;&gt;"",IF(M61&gt;130000000,28,IF(M61&gt;64000000,27,IF(M61&gt;320000000,26,IF(M61&gt;16000000,25,IF(M61&gt;8000000,24,IF(M61&gt;4000000,23,IF(M61&gt;2000000,22,IF(M61&gt;1000000,21,IF(M61&gt;500000,20,IF(M61&gt;250000,19,IF(M61&gt;130000,18,IF(M61&gt;64000,17,IF(M61&gt;32000,16,IF(M61&gt;16000,15,IF(M61&gt;8000,14,IF(M61&gt;4000,13,IF(M61&gt;2000,12,IF(M61&gt;1000,11,IF(M61&gt;500,10,IF(M61&gt;250,9,IF(M61&gt;130,8,IF(M61&gt;64,7,IF(M61&gt;32,6,IF(M61&gt;16,5,IF(M61&gt;8,4,IF(M61&gt;4,3,IF(M61&gt;2,2,IF(M61&gt;1,1,IF(M61&gt;0.5,0,IF(M61=0,0)))))))))))))))))))))))))))))),"")</f>
        <v/>
      </c>
      <c r="N74" s="47" t="str">
        <f aca="false">IF(N61&lt;&gt;"",IF(N61&gt;130000000,28,IF(N61&gt;64000000,27,IF(N61&gt;320000000,26,IF(N61&gt;16000000,25,IF(N61&gt;8000000,24,IF(N61&gt;4000000,23,IF(N61&gt;2000000,22,IF(N61&gt;1000000,21,IF(N61&gt;500000,20,IF(N61&gt;250000,19,IF(N61&gt;130000,18,IF(N61&gt;64000,17,IF(N61&gt;32000,16,IF(N61&gt;16000,15,IF(N61&gt;8000,14,IF(N61&gt;4000,13,IF(N61&gt;2000,12,IF(N61&gt;1000,11,IF(N61&gt;500,10,IF(N61&gt;250,9,IF(N61&gt;130,8,IF(N61&gt;64,7,IF(N61&gt;32,6,IF(N61&gt;16,5,IF(N61&gt;8,4,IF(N61&gt;4,3,IF(N61&gt;2,2,IF(N61&gt;1,1,IF(N61&gt;0.5,0,IF(N61=0,0)))))))))))))))))))))))))))))),"")</f>
        <v/>
      </c>
      <c r="O74" s="47" t="str">
        <f aca="false">IF(O61&lt;&gt;"",IF(O61&gt;130000000,28,IF(O61&gt;64000000,27,IF(O61&gt;320000000,26,IF(O61&gt;16000000,25,IF(O61&gt;8000000,24,IF(O61&gt;4000000,23,IF(O61&gt;2000000,22,IF(O61&gt;1000000,21,IF(O61&gt;500000,20,IF(O61&gt;250000,19,IF(O61&gt;130000,18,IF(O61&gt;64000,17,IF(O61&gt;32000,16,IF(O61&gt;16000,15,IF(O61&gt;8000,14,IF(O61&gt;4000,13,IF(O61&gt;2000,12,IF(O61&gt;1000,11,IF(O61&gt;500,10,IF(O61&gt;250,9,IF(O61&gt;130,8,IF(O61&gt;64,7,IF(O61&gt;32,6,IF(O61&gt;16,5,IF(O61&gt;8,4,IF(O61&gt;4,3,IF(O61&gt;2,2,IF(O61&gt;1,1,IF(O61&gt;0.5,0,IF(O61=0,0)))))))))))))))))))))))))))))),"")</f>
        <v/>
      </c>
      <c r="P74" s="47" t="str">
        <f aca="false">IF(P61&lt;&gt;"",IF(P61&gt;130000000,28,IF(P61&gt;64000000,27,IF(P61&gt;320000000,26,IF(P61&gt;16000000,25,IF(P61&gt;8000000,24,IF(P61&gt;4000000,23,IF(P61&gt;2000000,22,IF(P61&gt;1000000,21,IF(P61&gt;500000,20,IF(P61&gt;250000,19,IF(P61&gt;130000,18,IF(P61&gt;64000,17,IF(P61&gt;32000,16,IF(P61&gt;16000,15,IF(P61&gt;8000,14,IF(P61&gt;4000,13,IF(P61&gt;2000,12,IF(P61&gt;1000,11,IF(P61&gt;500,10,IF(P61&gt;250,9,IF(P61&gt;130,8,IF(P61&gt;64,7,IF(P61&gt;32,6,IF(P61&gt;16,5,IF(P61&gt;8,4,IF(P61&gt;4,3,IF(P61&gt;2,2,IF(P61&gt;1,1,IF(P61&gt;0.5,0,IF(P61=0,0)))))))))))))))))))))))))))))),"")</f>
        <v/>
      </c>
      <c r="Q74" s="47" t="str">
        <f aca="false">IF(Q61&lt;&gt;"",IF(Q61&gt;130000000,28,IF(Q61&gt;64000000,27,IF(Q61&gt;320000000,26,IF(Q61&gt;16000000,25,IF(Q61&gt;8000000,24,IF(Q61&gt;4000000,23,IF(Q61&gt;2000000,22,IF(Q61&gt;1000000,21,IF(Q61&gt;500000,20,IF(Q61&gt;250000,19,IF(Q61&gt;130000,18,IF(Q61&gt;64000,17,IF(Q61&gt;32000,16,IF(Q61&gt;16000,15,IF(Q61&gt;8000,14,IF(Q61&gt;4000,13,IF(Q61&gt;2000,12,IF(Q61&gt;1000,11,IF(Q61&gt;500,10,IF(Q61&gt;250,9,IF(Q61&gt;130,8,IF(Q61&gt;64,7,IF(Q61&gt;32,6,IF(Q61&gt;16,5,IF(Q61&gt;8,4,IF(Q61&gt;4,3,IF(Q61&gt;2,2,IF(Q61&gt;1,1,IF(Q61&gt;0.5,0,IF(Q61=0,0)))))))))))))))))))))))))))))),"")</f>
        <v/>
      </c>
      <c r="R74" s="47" t="str">
        <f aca="false">IF(R61&lt;&gt;"",IF(R61&gt;130000000,28,IF(R61&gt;64000000,27,IF(R61&gt;320000000,26,IF(R61&gt;16000000,25,IF(R61&gt;8000000,24,IF(R61&gt;4000000,23,IF(R61&gt;2000000,22,IF(R61&gt;1000000,21,IF(R61&gt;500000,20,IF(R61&gt;250000,19,IF(R61&gt;130000,18,IF(R61&gt;64000,17,IF(R61&gt;32000,16,IF(R61&gt;16000,15,IF(R61&gt;8000,14,IF(R61&gt;4000,13,IF(R61&gt;2000,12,IF(R61&gt;1000,11,IF(R61&gt;500,10,IF(R61&gt;250,9,IF(R61&gt;130,8,IF(R61&gt;64,7,IF(R61&gt;32,6,IF(R61&gt;16,5,IF(R61&gt;8,4,IF(R61&gt;4,3,IF(R61&gt;2,2,IF(R61&gt;1,1,IF(R61&gt;0.5,0,IF(R61=0,0)))))))))))))))))))))))))))))),"")</f>
        <v/>
      </c>
      <c r="S74" s="47" t="str">
        <f aca="false">IF(S61&lt;&gt;"",IF(S61&gt;130000000,28,IF(S61&gt;64000000,27,IF(S61&gt;320000000,26,IF(S61&gt;16000000,25,IF(S61&gt;8000000,24,IF(S61&gt;4000000,23,IF(S61&gt;2000000,22,IF(S61&gt;1000000,21,IF(S61&gt;500000,20,IF(S61&gt;250000,19,IF(S61&gt;130000,18,IF(S61&gt;64000,17,IF(S61&gt;32000,16,IF(S61&gt;16000,15,IF(S61&gt;8000,14,IF(S61&gt;4000,13,IF(S61&gt;2000,12,IF(S61&gt;1000,11,IF(S61&gt;500,10,IF(S61&gt;250,9,IF(S61&gt;130,8,IF(S61&gt;64,7,IF(S61&gt;32,6,IF(S61&gt;16,5,IF(S61&gt;8,4,IF(S61&gt;4,3,IF(S61&gt;2,2,IF(S61&gt;1,1,IF(S61&gt;0.5,0,IF(S61=0,0)))))))))))))))))))))))))))))),"")</f>
        <v/>
      </c>
      <c r="T74" s="47" t="str">
        <f aca="false">IF(T61&lt;&gt;"",IF(T61&gt;130000000,28,IF(T61&gt;64000000,27,IF(T61&gt;320000000,26,IF(T61&gt;16000000,25,IF(T61&gt;8000000,24,IF(T61&gt;4000000,23,IF(T61&gt;2000000,22,IF(T61&gt;1000000,21,IF(T61&gt;500000,20,IF(T61&gt;250000,19,IF(T61&gt;130000,18,IF(T61&gt;64000,17,IF(T61&gt;32000,16,IF(T61&gt;16000,15,IF(T61&gt;8000,14,IF(T61&gt;4000,13,IF(T61&gt;2000,12,IF(T61&gt;1000,11,IF(T61&gt;500,10,IF(T61&gt;250,9,IF(T61&gt;130,8,IF(T61&gt;64,7,IF(T61&gt;32,6,IF(T61&gt;16,5,IF(T61&gt;8,4,IF(T61&gt;4,3,IF(T61&gt;2,2,IF(T61&gt;1,1,IF(T61&gt;0.5,0,IF(T61=0,0)))))))))))))))))))))))))))))),"")</f>
        <v/>
      </c>
      <c r="U74" s="47" t="str">
        <f aca="false">IF(U61&lt;&gt;"",IF(U61&gt;130000000,28,IF(U61&gt;64000000,27,IF(U61&gt;320000000,26,IF(U61&gt;16000000,25,IF(U61&gt;8000000,24,IF(U61&gt;4000000,23,IF(U61&gt;2000000,22,IF(U61&gt;1000000,21,IF(U61&gt;500000,20,IF(U61&gt;250000,19,IF(U61&gt;130000,18,IF(U61&gt;64000,17,IF(U61&gt;32000,16,IF(U61&gt;16000,15,IF(U61&gt;8000,14,IF(U61&gt;4000,13,IF(U61&gt;2000,12,IF(U61&gt;1000,11,IF(U61&gt;500,10,IF(U61&gt;250,9,IF(U61&gt;130,8,IF(U61&gt;64,7,IF(U61&gt;32,6,IF(U61&gt;16,5,IF(U61&gt;8,4,IF(U61&gt;4,3,IF(U61&gt;2,2,IF(U61&gt;1,1,IF(U61&gt;0.5,0,IF(U61=0,0)))))))))))))))))))))))))))))),"")</f>
        <v/>
      </c>
      <c r="V74" s="47" t="str">
        <f aca="false">IF(V61&lt;&gt;"",IF(V61&gt;130000000,28,IF(V61&gt;64000000,27,IF(V61&gt;320000000,26,IF(V61&gt;16000000,25,IF(V61&gt;8000000,24,IF(V61&gt;4000000,23,IF(V61&gt;2000000,22,IF(V61&gt;1000000,21,IF(V61&gt;500000,20,IF(V61&gt;250000,19,IF(V61&gt;130000,18,IF(V61&gt;64000,17,IF(V61&gt;32000,16,IF(V61&gt;16000,15,IF(V61&gt;8000,14,IF(V61&gt;4000,13,IF(V61&gt;2000,12,IF(V61&gt;1000,11,IF(V61&gt;500,10,IF(V61&gt;250,9,IF(V61&gt;130,8,IF(V61&gt;64,7,IF(V61&gt;32,6,IF(V61&gt;16,5,IF(V61&gt;8,4,IF(V61&gt;4,3,IF(V61&gt;2,2,IF(V61&gt;1,1,IF(V61&gt;0.5,0,IF(V61=0,0)))))))))))))))))))))))))))))),"")</f>
        <v/>
      </c>
      <c r="W74" s="47" t="str">
        <f aca="false">IF(W61&lt;&gt;"",IF(W61&gt;130000000,28,IF(W61&gt;64000000,27,IF(W61&gt;320000000,26,IF(W61&gt;16000000,25,IF(W61&gt;8000000,24,IF(W61&gt;4000000,23,IF(W61&gt;2000000,22,IF(W61&gt;1000000,21,IF(W61&gt;500000,20,IF(W61&gt;250000,19,IF(W61&gt;130000,18,IF(W61&gt;64000,17,IF(W61&gt;32000,16,IF(W61&gt;16000,15,IF(W61&gt;8000,14,IF(W61&gt;4000,13,IF(W61&gt;2000,12,IF(W61&gt;1000,11,IF(W61&gt;500,10,IF(W61&gt;250,9,IF(W61&gt;130,8,IF(W61&gt;64,7,IF(W61&gt;32,6,IF(W61&gt;16,5,IF(W61&gt;8,4,IF(W61&gt;4,3,IF(W61&gt;2,2,IF(W61&gt;1,1,IF(W61&gt;0.5,0,IF(W61=0,0)))))))))))))))))))))))))))))),"")</f>
        <v/>
      </c>
      <c r="X74" s="47" t="str">
        <f aca="false">IF(X61&lt;&gt;"",IF(X61&gt;130000000,28,IF(X61&gt;64000000,27,IF(X61&gt;320000000,26,IF(X61&gt;16000000,25,IF(X61&gt;8000000,24,IF(X61&gt;4000000,23,IF(X61&gt;2000000,22,IF(X61&gt;1000000,21,IF(X61&gt;500000,20,IF(X61&gt;250000,19,IF(X61&gt;130000,18,IF(X61&gt;64000,17,IF(X61&gt;32000,16,IF(X61&gt;16000,15,IF(X61&gt;8000,14,IF(X61&gt;4000,13,IF(X61&gt;2000,12,IF(X61&gt;1000,11,IF(X61&gt;500,10,IF(X61&gt;250,9,IF(X61&gt;130,8,IF(X61&gt;64,7,IF(X61&gt;32,6,IF(X61&gt;16,5,IF(X61&gt;8,4,IF(X61&gt;4,3,IF(X61&gt;2,2,IF(X61&gt;1,1,IF(X61&gt;0.5,0,IF(X61=0,0)))))))))))))))))))))))))))))),"")</f>
        <v/>
      </c>
      <c r="Y74" s="47" t="str">
        <f aca="false">IF(Y61&lt;&gt;"",IF(Y61&gt;130000000,28,IF(Y61&gt;64000000,27,IF(Y61&gt;320000000,26,IF(Y61&gt;16000000,25,IF(Y61&gt;8000000,24,IF(Y61&gt;4000000,23,IF(Y61&gt;2000000,22,IF(Y61&gt;1000000,21,IF(Y61&gt;500000,20,IF(Y61&gt;250000,19,IF(Y61&gt;130000,18,IF(Y61&gt;64000,17,IF(Y61&gt;32000,16,IF(Y61&gt;16000,15,IF(Y61&gt;8000,14,IF(Y61&gt;4000,13,IF(Y61&gt;2000,12,IF(Y61&gt;1000,11,IF(Y61&gt;500,10,IF(Y61&gt;250,9,IF(Y61&gt;130,8,IF(Y61&gt;64,7,IF(Y61&gt;32,6,IF(Y61&gt;16,5,IF(Y61&gt;8,4,IF(Y61&gt;4,3,IF(Y61&gt;2,2,IF(Y61&gt;1,1,IF(Y61&gt;0.5,0,IF(Y61=0,0)))))))))))))))))))))))))))))),"")</f>
        <v/>
      </c>
      <c r="Z74" s="47" t="str">
        <f aca="false">IF(Z61&lt;&gt;"",IF(Z61&gt;130000000,28,IF(Z61&gt;64000000,27,IF(Z61&gt;320000000,26,IF(Z61&gt;16000000,25,IF(Z61&gt;8000000,24,IF(Z61&gt;4000000,23,IF(Z61&gt;2000000,22,IF(Z61&gt;1000000,21,IF(Z61&gt;500000,20,IF(Z61&gt;250000,19,IF(Z61&gt;130000,18,IF(Z61&gt;64000,17,IF(Z61&gt;32000,16,IF(Z61&gt;16000,15,IF(Z61&gt;8000,14,IF(Z61&gt;4000,13,IF(Z61&gt;2000,12,IF(Z61&gt;1000,11,IF(Z61&gt;500,10,IF(Z61&gt;250,9,IF(Z61&gt;130,8,IF(Z61&gt;64,7,IF(Z61&gt;32,6,IF(Z61&gt;16,5,IF(Z61&gt;8,4,IF(Z61&gt;4,3,IF(Z61&gt;2,2,IF(Z61&gt;1,1,IF(Z61&gt;0.5,0,IF(Z61=0,0)))))))))))))))))))))))))))))),"")</f>
        <v/>
      </c>
      <c r="AA74" s="47" t="str">
        <f aca="false">IF(AA61&lt;&gt;"",IF(AA61&gt;130000000,28,IF(AA61&gt;64000000,27,IF(AA61&gt;320000000,26,IF(AA61&gt;16000000,25,IF(AA61&gt;8000000,24,IF(AA61&gt;4000000,23,IF(AA61&gt;2000000,22,IF(AA61&gt;1000000,21,IF(AA61&gt;500000,20,IF(AA61&gt;250000,19,IF(AA61&gt;130000,18,IF(AA61&gt;64000,17,IF(AA61&gt;32000,16,IF(AA61&gt;16000,15,IF(AA61&gt;8000,14,IF(AA61&gt;4000,13,IF(AA61&gt;2000,12,IF(AA61&gt;1000,11,IF(AA61&gt;500,10,IF(AA61&gt;250,9,IF(AA61&gt;130,8,IF(AA61&gt;64,7,IF(AA61&gt;32,6,IF(AA61&gt;16,5,IF(AA61&gt;8,4,IF(AA61&gt;4,3,IF(AA61&gt;2,2,IF(AA61&gt;1,1,IF(AA61&gt;0.5,0,IF(AA61=0,0)))))))))))))))))))))))))))))),"")</f>
        <v/>
      </c>
      <c r="AB74" s="47" t="str">
        <f aca="false">IF(AB61&lt;&gt;"",IF(AB61&gt;130000000,28,IF(AB61&gt;64000000,27,IF(AB61&gt;320000000,26,IF(AB61&gt;16000000,25,IF(AB61&gt;8000000,24,IF(AB61&gt;4000000,23,IF(AB61&gt;2000000,22,IF(AB61&gt;1000000,21,IF(AB61&gt;500000,20,IF(AB61&gt;250000,19,IF(AB61&gt;130000,18,IF(AB61&gt;64000,17,IF(AB61&gt;32000,16,IF(AB61&gt;16000,15,IF(AB61&gt;8000,14,IF(AB61&gt;4000,13,IF(AB61&gt;2000,12,IF(AB61&gt;1000,11,IF(AB61&gt;500,10,IF(AB61&gt;250,9,IF(AB61&gt;130,8,IF(AB61&gt;64,7,IF(AB61&gt;32,6,IF(AB61&gt;16,5,IF(AB61&gt;8,4,IF(AB61&gt;4,3,IF(AB61&gt;2,2,IF(AB61&gt;1,1,IF(AB61&gt;0.5,0,IF(AB61=0,0)))))))))))))))))))))))))))))),"")</f>
        <v/>
      </c>
      <c r="AC74" s="47" t="str">
        <f aca="false">IF(AC61&lt;&gt;"",IF(AC61&gt;130000000,28,IF(AC61&gt;64000000,27,IF(AC61&gt;320000000,26,IF(AC61&gt;16000000,25,IF(AC61&gt;8000000,24,IF(AC61&gt;4000000,23,IF(AC61&gt;2000000,22,IF(AC61&gt;1000000,21,IF(AC61&gt;500000,20,IF(AC61&gt;250000,19,IF(AC61&gt;130000,18,IF(AC61&gt;64000,17,IF(AC61&gt;32000,16,IF(AC61&gt;16000,15,IF(AC61&gt;8000,14,IF(AC61&gt;4000,13,IF(AC61&gt;2000,12,IF(AC61&gt;1000,11,IF(AC61&gt;500,10,IF(AC61&gt;250,9,IF(AC61&gt;130,8,IF(AC61&gt;64,7,IF(AC61&gt;32,6,IF(AC61&gt;16,5,IF(AC61&gt;8,4,IF(AC61&gt;4,3,IF(AC61&gt;2,2,IF(AC61&gt;1,1,IF(AC61&gt;0.5,0,IF(AC61=0,0)))))))))))))))))))))))))))))),"")</f>
        <v/>
      </c>
      <c r="AD74" s="47" t="str">
        <f aca="false">IF(AD61&lt;&gt;"",IF(AD61&gt;130000000,28,IF(AD61&gt;64000000,27,IF(AD61&gt;320000000,26,IF(AD61&gt;16000000,25,IF(AD61&gt;8000000,24,IF(AD61&gt;4000000,23,IF(AD61&gt;2000000,22,IF(AD61&gt;1000000,21,IF(AD61&gt;500000,20,IF(AD61&gt;250000,19,IF(AD61&gt;130000,18,IF(AD61&gt;64000,17,IF(AD61&gt;32000,16,IF(AD61&gt;16000,15,IF(AD61&gt;8000,14,IF(AD61&gt;4000,13,IF(AD61&gt;2000,12,IF(AD61&gt;1000,11,IF(AD61&gt;500,10,IF(AD61&gt;250,9,IF(AD61&gt;130,8,IF(AD61&gt;64,7,IF(AD61&gt;32,6,IF(AD61&gt;16,5,IF(AD61&gt;8,4,IF(AD61&gt;4,3,IF(AD61&gt;2,2,IF(AD61&gt;1,1,IF(AD61&gt;0.5,0,IF(AD61=0,0)))))))))))))))))))))))))))))),"")</f>
        <v/>
      </c>
      <c r="AE74" s="47" t="str">
        <f aca="false">IF(AE61&lt;&gt;"",IF(AE61&gt;130000000,28,IF(AE61&gt;64000000,27,IF(AE61&gt;320000000,26,IF(AE61&gt;16000000,25,IF(AE61&gt;8000000,24,IF(AE61&gt;4000000,23,IF(AE61&gt;2000000,22,IF(AE61&gt;1000000,21,IF(AE61&gt;500000,20,IF(AE61&gt;250000,19,IF(AE61&gt;130000,18,IF(AE61&gt;64000,17,IF(AE61&gt;32000,16,IF(AE61&gt;16000,15,IF(AE61&gt;8000,14,IF(AE61&gt;4000,13,IF(AE61&gt;2000,12,IF(AE61&gt;1000,11,IF(AE61&gt;500,10,IF(AE61&gt;250,9,IF(AE61&gt;130,8,IF(AE61&gt;64,7,IF(AE61&gt;32,6,IF(AE61&gt;16,5,IF(AE61&gt;8,4,IF(AE61&gt;4,3,IF(AE61&gt;2,2,IF(AE61&gt;1,1,IF(AE61&gt;0.5,0,IF(AE61=0,0)))))))))))))))))))))))))))))),"")</f>
        <v/>
      </c>
      <c r="AF74" s="47" t="str">
        <f aca="false">IF(AF61&lt;&gt;"",IF(AF61&gt;130000000,28,IF(AF61&gt;64000000,27,IF(AF61&gt;320000000,26,IF(AF61&gt;16000000,25,IF(AF61&gt;8000000,24,IF(AF61&gt;4000000,23,IF(AF61&gt;2000000,22,IF(AF61&gt;1000000,21,IF(AF61&gt;500000,20,IF(AF61&gt;250000,19,IF(AF61&gt;130000,18,IF(AF61&gt;64000,17,IF(AF61&gt;32000,16,IF(AF61&gt;16000,15,IF(AF61&gt;8000,14,IF(AF61&gt;4000,13,IF(AF61&gt;2000,12,IF(AF61&gt;1000,11,IF(AF61&gt;500,10,IF(AF61&gt;250,9,IF(AF61&gt;130,8,IF(AF61&gt;64,7,IF(AF61&gt;32,6,IF(AF61&gt;16,5,IF(AF61&gt;8,4,IF(AF61&gt;4,3,IF(AF61&gt;2,2,IF(AF61&gt;1,1,IF(AF61&gt;0.5,0,IF(AF61=0,0)))))))))))))))))))))))))))))),"")</f>
        <v/>
      </c>
      <c r="AG74" s="47" t="str">
        <f aca="false">IF(AG61&lt;&gt;"",IF(AG61&gt;130000000,28,IF(AG61&gt;64000000,27,IF(AG61&gt;320000000,26,IF(AG61&gt;16000000,25,IF(AG61&gt;8000000,24,IF(AG61&gt;4000000,23,IF(AG61&gt;2000000,22,IF(AG61&gt;1000000,21,IF(AG61&gt;500000,20,IF(AG61&gt;250000,19,IF(AG61&gt;130000,18,IF(AG61&gt;64000,17,IF(AG61&gt;32000,16,IF(AG61&gt;16000,15,IF(AG61&gt;8000,14,IF(AG61&gt;4000,13,IF(AG61&gt;2000,12,IF(AG61&gt;1000,11,IF(AG61&gt;500,10,IF(AG61&gt;250,9,IF(AG61&gt;130,8,IF(AG61&gt;64,7,IF(AG61&gt;32,6,IF(AG61&gt;16,5,IF(AG61&gt;8,4,IF(AG61&gt;4,3,IF(AG61&gt;2,2,IF(AG61&gt;1,1,IF(AG61&gt;0.5,0,IF(AG61=0,0)))))))))))))))))))))))))))))),"")</f>
        <v/>
      </c>
      <c r="AH74" s="47" t="str">
        <f aca="false">IF(AH61&lt;&gt;"",IF(AH61&gt;130000000,28,IF(AH61&gt;64000000,27,IF(AH61&gt;320000000,26,IF(AH61&gt;16000000,25,IF(AH61&gt;8000000,24,IF(AH61&gt;4000000,23,IF(AH61&gt;2000000,22,IF(AH61&gt;1000000,21,IF(AH61&gt;500000,20,IF(AH61&gt;250000,19,IF(AH61&gt;130000,18,IF(AH61&gt;64000,17,IF(AH61&gt;32000,16,IF(AH61&gt;16000,15,IF(AH61&gt;8000,14,IF(AH61&gt;4000,13,IF(AH61&gt;2000,12,IF(AH61&gt;1000,11,IF(AH61&gt;500,10,IF(AH61&gt;250,9,IF(AH61&gt;130,8,IF(AH61&gt;64,7,IF(AH61&gt;32,6,IF(AH61&gt;16,5,IF(AH61&gt;8,4,IF(AH61&gt;4,3,IF(AH61&gt;2,2,IF(AH61&gt;1,1,IF(AH61&gt;0.5,0,IF(AH61=0,0)))))))))))))))))))))))))))))),"")</f>
        <v/>
      </c>
      <c r="AI74" s="47" t="str">
        <f aca="false">IF(AI61&lt;&gt;"",IF(AI61&gt;130000000,28,IF(AI61&gt;64000000,27,IF(AI61&gt;320000000,26,IF(AI61&gt;16000000,25,IF(AI61&gt;8000000,24,IF(AI61&gt;4000000,23,IF(AI61&gt;2000000,22,IF(AI61&gt;1000000,21,IF(AI61&gt;500000,20,IF(AI61&gt;250000,19,IF(AI61&gt;130000,18,IF(AI61&gt;64000,17,IF(AI61&gt;32000,16,IF(AI61&gt;16000,15,IF(AI61&gt;8000,14,IF(AI61&gt;4000,13,IF(AI61&gt;2000,12,IF(AI61&gt;1000,11,IF(AI61&gt;500,10,IF(AI61&gt;250,9,IF(AI61&gt;130,8,IF(AI61&gt;64,7,IF(AI61&gt;32,6,IF(AI61&gt;16,5,IF(AI61&gt;8,4,IF(AI61&gt;4,3,IF(AI61&gt;2,2,IF(AI61&gt;1,1,IF(AI61&gt;0.5,0,IF(AI61=0,0)))))))))))))))))))))))))))))),"")</f>
        <v/>
      </c>
      <c r="AJ74" s="47" t="str">
        <f aca="false">IF(AJ61&lt;&gt;"",IF(AJ61&gt;130000000,28,IF(AJ61&gt;64000000,27,IF(AJ61&gt;320000000,26,IF(AJ61&gt;16000000,25,IF(AJ61&gt;8000000,24,IF(AJ61&gt;4000000,23,IF(AJ61&gt;2000000,22,IF(AJ61&gt;1000000,21,IF(AJ61&gt;500000,20,IF(AJ61&gt;250000,19,IF(AJ61&gt;130000,18,IF(AJ61&gt;64000,17,IF(AJ61&gt;32000,16,IF(AJ61&gt;16000,15,IF(AJ61&gt;8000,14,IF(AJ61&gt;4000,13,IF(AJ61&gt;2000,12,IF(AJ61&gt;1000,11,IF(AJ61&gt;500,10,IF(AJ61&gt;250,9,IF(AJ61&gt;130,8,IF(AJ61&gt;64,7,IF(AJ61&gt;32,6,IF(AJ61&gt;16,5,IF(AJ61&gt;8,4,IF(AJ61&gt;4,3,IF(AJ61&gt;2,2,IF(AJ61&gt;1,1,IF(AJ61&gt;0.5,0,IF(AJ61=0,0)))))))))))))))))))))))))))))),"")</f>
        <v/>
      </c>
      <c r="AK74" s="74" t="str">
        <f aca="false">IF(AK61&lt;&gt;"",IF(AK61&gt;130000000,28,IF(AK61&gt;64000000,27,IF(AK61&gt;320000000,26,IF(AK61&gt;16000000,25,IF(AK61&gt;8000000,24,IF(AK61&gt;4000000,23,IF(AK61&gt;2000000,22,IF(AK61&gt;1000000,21,IF(AK61&gt;500000,20,IF(AK61&gt;250000,19,IF(AK61&gt;130000,18,IF(AK61&gt;64000,17,IF(AK61&gt;32000,16,IF(AK61&gt;16000,15,IF(AK61&gt;8000,14,IF(AK61&gt;4000,13,IF(AK61&gt;2000,12,IF(AK61&gt;1000,11,IF(AK61&gt;500,10,IF(AK61&gt;250,9,IF(AK61&gt;130,8,IF(AK61&gt;64,7,IF(AK61&gt;32,6,IF(AK61&gt;16,5,IF(AK61&gt;8,4,IF(AK61&gt;4,3,IF(AK61&gt;2,2,IF(AK61&gt;1,1,IF(AK61&gt;0.5,0,IF(AK61=0,0)))))))))))))))))))))))))))))),"")</f>
        <v/>
      </c>
      <c r="AL74" s="33"/>
      <c r="AM74" s="34"/>
      <c r="AN74" s="34"/>
      <c r="AO74" s="34"/>
      <c r="AP74" s="34"/>
      <c r="AQ74" s="34"/>
      <c r="AR74" s="40"/>
    </row>
    <row r="75" s="53" customFormat="true" ht="13.8" hidden="false" customHeight="false" outlineLevel="0" collapsed="false">
      <c r="A75" s="75" t="s">
        <v>140</v>
      </c>
      <c r="B75" s="52" t="s">
        <v>141</v>
      </c>
      <c r="C75" s="53" t="s">
        <v>140</v>
      </c>
      <c r="D75" s="53" t="s">
        <v>142</v>
      </c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5"/>
      <c r="AL75" s="3"/>
      <c r="AM75" s="4"/>
      <c r="AN75" s="4"/>
      <c r="AO75" s="4"/>
      <c r="AP75" s="4"/>
      <c r="AQ75" s="4"/>
      <c r="AR75" s="56"/>
    </row>
    <row r="76" s="69" customFormat="true" ht="13.8" hidden="false" customHeight="false" outlineLevel="0" collapsed="false">
      <c r="A76" s="75"/>
      <c r="B76" s="76" t="s">
        <v>143</v>
      </c>
      <c r="C76" s="69" t="s">
        <v>144</v>
      </c>
      <c r="D76" s="69" t="s">
        <v>145</v>
      </c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8"/>
      <c r="AL76" s="3"/>
      <c r="AM76" s="4"/>
      <c r="AN76" s="4"/>
      <c r="AO76" s="4"/>
      <c r="AP76" s="4"/>
      <c r="AQ76" s="4"/>
      <c r="AR76" s="68"/>
    </row>
    <row r="77" s="81" customFormat="true" ht="13.8" hidden="false" customHeight="false" outlineLevel="0" collapsed="false">
      <c r="A77" s="79" t="s">
        <v>146</v>
      </c>
      <c r="B77" s="80" t="s">
        <v>147</v>
      </c>
      <c r="C77" s="81" t="s">
        <v>146</v>
      </c>
      <c r="D77" s="81" t="s">
        <v>148</v>
      </c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82"/>
      <c r="AL77" s="33"/>
      <c r="AM77" s="34"/>
      <c r="AN77" s="34"/>
      <c r="AO77" s="34"/>
      <c r="AP77" s="34"/>
      <c r="AQ77" s="34"/>
      <c r="AR77" s="83"/>
    </row>
    <row r="78" s="53" customFormat="true" ht="13.8" hidden="false" customHeight="false" outlineLevel="0" collapsed="false">
      <c r="A78" s="75" t="s">
        <v>149</v>
      </c>
      <c r="B78" s="52" t="s">
        <v>150</v>
      </c>
      <c r="C78" s="53" t="s">
        <v>151</v>
      </c>
      <c r="D78" s="53" t="s">
        <v>152</v>
      </c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5"/>
      <c r="AL78" s="3"/>
      <c r="AM78" s="4"/>
      <c r="AN78" s="4"/>
      <c r="AO78" s="4"/>
      <c r="AP78" s="4"/>
      <c r="AQ78" s="4"/>
      <c r="AR78" s="56"/>
    </row>
    <row r="79" s="85" customFormat="true" ht="13.8" hidden="false" customHeight="false" outlineLevel="0" collapsed="false">
      <c r="A79" s="75"/>
      <c r="B79" s="84" t="s">
        <v>150</v>
      </c>
      <c r="C79" s="85" t="s">
        <v>153</v>
      </c>
      <c r="D79" s="85" t="s">
        <v>154</v>
      </c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7"/>
      <c r="AL79" s="3"/>
      <c r="AM79" s="4"/>
      <c r="AN79" s="4"/>
      <c r="AO79" s="4"/>
      <c r="AP79" s="4"/>
      <c r="AQ79" s="4"/>
      <c r="AR79" s="88"/>
    </row>
    <row r="80" s="58" customFormat="true" ht="13.8" hidden="false" customHeight="false" outlineLevel="0" collapsed="false">
      <c r="A80" s="75"/>
      <c r="B80" s="57" t="s">
        <v>150</v>
      </c>
      <c r="C80" s="58" t="s">
        <v>155</v>
      </c>
      <c r="D80" s="58" t="s">
        <v>156</v>
      </c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60"/>
      <c r="AL80" s="3"/>
      <c r="AM80" s="4"/>
      <c r="AN80" s="4"/>
      <c r="AO80" s="4"/>
      <c r="AP80" s="4"/>
      <c r="AQ80" s="4"/>
      <c r="AR80" s="61"/>
    </row>
    <row r="81" s="69" customFormat="true" ht="13.8" hidden="false" customHeight="false" outlineLevel="0" collapsed="false">
      <c r="A81" s="75"/>
      <c r="B81" s="76" t="s">
        <v>157</v>
      </c>
      <c r="C81" s="69" t="s">
        <v>158</v>
      </c>
      <c r="D81" s="69" t="s">
        <v>159</v>
      </c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8"/>
      <c r="AL81" s="3"/>
      <c r="AM81" s="4"/>
      <c r="AN81" s="4"/>
      <c r="AO81" s="4"/>
      <c r="AP81" s="4"/>
      <c r="AQ81" s="4"/>
      <c r="AR81" s="68"/>
    </row>
    <row r="82" s="30" customFormat="true" ht="13.8" hidden="false" customHeight="false" outlineLevel="0" collapsed="false">
      <c r="A82" s="31" t="s">
        <v>160</v>
      </c>
      <c r="B82" s="29" t="s">
        <v>141</v>
      </c>
      <c r="C82" s="30" t="s">
        <v>161</v>
      </c>
      <c r="D82" s="30" t="s">
        <v>162</v>
      </c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90"/>
      <c r="AL82" s="33"/>
      <c r="AM82" s="34"/>
      <c r="AN82" s="34"/>
      <c r="AO82" s="34"/>
      <c r="AP82" s="34"/>
      <c r="AQ82" s="34"/>
      <c r="AR82" s="35"/>
    </row>
    <row r="83" s="37" customFormat="true" ht="13.8" hidden="false" customHeight="false" outlineLevel="0" collapsed="false">
      <c r="A83" s="31"/>
      <c r="B83" s="36" t="s">
        <v>141</v>
      </c>
      <c r="C83" s="37" t="s">
        <v>163</v>
      </c>
      <c r="D83" s="37" t="s">
        <v>164</v>
      </c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9"/>
      <c r="AL83" s="33"/>
      <c r="AM83" s="34"/>
      <c r="AN83" s="34"/>
      <c r="AO83" s="34"/>
      <c r="AP83" s="34"/>
      <c r="AQ83" s="34"/>
      <c r="AR83" s="40"/>
    </row>
    <row r="84" s="37" customFormat="true" ht="13.8" hidden="false" customHeight="false" outlineLevel="0" collapsed="false">
      <c r="A84" s="31"/>
      <c r="B84" s="36" t="s">
        <v>141</v>
      </c>
      <c r="C84" s="37" t="s">
        <v>165</v>
      </c>
      <c r="D84" s="37" t="s">
        <v>166</v>
      </c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9"/>
      <c r="AL84" s="33"/>
      <c r="AM84" s="34"/>
      <c r="AN84" s="34"/>
      <c r="AO84" s="34"/>
      <c r="AP84" s="34"/>
      <c r="AQ84" s="34"/>
      <c r="AR84" s="40"/>
    </row>
    <row r="85" s="37" customFormat="true" ht="13.8" hidden="false" customHeight="false" outlineLevel="0" collapsed="false">
      <c r="A85" s="31"/>
      <c r="B85" s="36" t="s">
        <v>141</v>
      </c>
      <c r="C85" s="37" t="s">
        <v>167</v>
      </c>
      <c r="D85" s="37" t="s">
        <v>168</v>
      </c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9"/>
      <c r="AL85" s="33"/>
      <c r="AM85" s="34"/>
      <c r="AN85" s="34"/>
      <c r="AO85" s="34"/>
      <c r="AP85" s="34"/>
      <c r="AQ85" s="34"/>
      <c r="AR85" s="40"/>
    </row>
    <row r="86" s="37" customFormat="true" ht="13.8" hidden="false" customHeight="false" outlineLevel="0" collapsed="false">
      <c r="A86" s="31"/>
      <c r="B86" s="36" t="s">
        <v>141</v>
      </c>
      <c r="C86" s="37" t="s">
        <v>169</v>
      </c>
      <c r="D86" s="37" t="s">
        <v>170</v>
      </c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9"/>
      <c r="AL86" s="33"/>
      <c r="AM86" s="34"/>
      <c r="AN86" s="34"/>
      <c r="AO86" s="34"/>
      <c r="AP86" s="34"/>
      <c r="AQ86" s="34"/>
      <c r="AR86" s="40"/>
    </row>
    <row r="87" s="37" customFormat="true" ht="13.8" hidden="false" customHeight="false" outlineLevel="0" collapsed="false">
      <c r="A87" s="31"/>
      <c r="B87" s="36" t="s">
        <v>141</v>
      </c>
      <c r="C87" s="37" t="s">
        <v>171</v>
      </c>
      <c r="D87" s="37" t="s">
        <v>172</v>
      </c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9"/>
      <c r="AL87" s="33"/>
      <c r="AM87" s="34"/>
      <c r="AN87" s="34"/>
      <c r="AO87" s="34"/>
      <c r="AP87" s="34"/>
      <c r="AQ87" s="34"/>
      <c r="AR87" s="40"/>
    </row>
    <row r="88" s="37" customFormat="true" ht="13.8" hidden="false" customHeight="false" outlineLevel="0" collapsed="false">
      <c r="A88" s="31"/>
      <c r="B88" s="36" t="s">
        <v>141</v>
      </c>
      <c r="C88" s="37" t="s">
        <v>173</v>
      </c>
      <c r="D88" s="37" t="s">
        <v>174</v>
      </c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9"/>
      <c r="AL88" s="33"/>
      <c r="AM88" s="34"/>
      <c r="AN88" s="34"/>
      <c r="AO88" s="34"/>
      <c r="AP88" s="34"/>
      <c r="AQ88" s="34"/>
      <c r="AR88" s="40"/>
    </row>
    <row r="89" s="37" customFormat="true" ht="13.8" hidden="false" customHeight="false" outlineLevel="0" collapsed="false">
      <c r="A89" s="31"/>
      <c r="B89" s="36" t="s">
        <v>141</v>
      </c>
      <c r="C89" s="37" t="s">
        <v>175</v>
      </c>
      <c r="D89" s="37" t="s">
        <v>176</v>
      </c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9"/>
      <c r="AL89" s="33"/>
      <c r="AM89" s="34"/>
      <c r="AN89" s="34"/>
      <c r="AO89" s="34"/>
      <c r="AP89" s="34"/>
      <c r="AQ89" s="34"/>
      <c r="AR89" s="40"/>
    </row>
    <row r="90" s="37" customFormat="true" ht="13.8" hidden="false" customHeight="false" outlineLevel="0" collapsed="false">
      <c r="A90" s="31"/>
      <c r="B90" s="36" t="s">
        <v>141</v>
      </c>
      <c r="C90" s="37" t="s">
        <v>177</v>
      </c>
      <c r="D90" s="37" t="s">
        <v>178</v>
      </c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9"/>
      <c r="AL90" s="33"/>
      <c r="AM90" s="34"/>
      <c r="AN90" s="34"/>
      <c r="AO90" s="34"/>
      <c r="AP90" s="34"/>
      <c r="AQ90" s="34"/>
      <c r="AR90" s="40"/>
    </row>
    <row r="91" s="37" customFormat="true" ht="13.8" hidden="false" customHeight="false" outlineLevel="0" collapsed="false">
      <c r="A91" s="31"/>
      <c r="B91" s="36" t="s">
        <v>141</v>
      </c>
      <c r="C91" s="37" t="s">
        <v>179</v>
      </c>
      <c r="D91" s="37" t="s">
        <v>180</v>
      </c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9"/>
      <c r="AL91" s="33"/>
      <c r="AM91" s="34"/>
      <c r="AN91" s="34"/>
      <c r="AO91" s="34"/>
      <c r="AP91" s="34"/>
      <c r="AQ91" s="34"/>
      <c r="AR91" s="40"/>
    </row>
    <row r="92" s="37" customFormat="true" ht="13.8" hidden="false" customHeight="false" outlineLevel="0" collapsed="false">
      <c r="A92" s="31"/>
      <c r="B92" s="36" t="s">
        <v>141</v>
      </c>
      <c r="C92" s="37" t="s">
        <v>181</v>
      </c>
      <c r="D92" s="37" t="s">
        <v>182</v>
      </c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9"/>
      <c r="AL92" s="33"/>
      <c r="AM92" s="34"/>
      <c r="AN92" s="34"/>
      <c r="AO92" s="34"/>
      <c r="AP92" s="34"/>
      <c r="AQ92" s="34"/>
      <c r="AR92" s="40"/>
    </row>
    <row r="93" s="37" customFormat="true" ht="13.8" hidden="false" customHeight="false" outlineLevel="0" collapsed="false">
      <c r="A93" s="31"/>
      <c r="B93" s="36" t="s">
        <v>141</v>
      </c>
      <c r="C93" s="37" t="s">
        <v>183</v>
      </c>
      <c r="D93" s="37" t="s">
        <v>184</v>
      </c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9"/>
      <c r="AL93" s="33"/>
      <c r="AM93" s="34"/>
      <c r="AN93" s="34"/>
      <c r="AO93" s="34"/>
      <c r="AP93" s="34"/>
      <c r="AQ93" s="34"/>
      <c r="AR93" s="40"/>
    </row>
    <row r="94" s="37" customFormat="true" ht="13.8" hidden="false" customHeight="false" outlineLevel="0" collapsed="false">
      <c r="A94" s="31"/>
      <c r="B94" s="36" t="s">
        <v>141</v>
      </c>
      <c r="C94" s="37" t="s">
        <v>185</v>
      </c>
      <c r="D94" s="37" t="s">
        <v>186</v>
      </c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9"/>
      <c r="AL94" s="33"/>
      <c r="AM94" s="34"/>
      <c r="AN94" s="34"/>
      <c r="AO94" s="34"/>
      <c r="AP94" s="34"/>
      <c r="AQ94" s="34"/>
      <c r="AR94" s="40"/>
    </row>
    <row r="95" s="37" customFormat="true" ht="13.8" hidden="false" customHeight="false" outlineLevel="0" collapsed="false">
      <c r="A95" s="31"/>
      <c r="B95" s="36" t="s">
        <v>141</v>
      </c>
      <c r="C95" s="37" t="s">
        <v>187</v>
      </c>
      <c r="D95" s="37" t="s">
        <v>188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9"/>
      <c r="AL95" s="33"/>
      <c r="AM95" s="34"/>
      <c r="AN95" s="34"/>
      <c r="AO95" s="34"/>
      <c r="AP95" s="34"/>
      <c r="AQ95" s="34"/>
      <c r="AR95" s="40"/>
    </row>
    <row r="96" s="37" customFormat="true" ht="13.8" hidden="false" customHeight="false" outlineLevel="0" collapsed="false">
      <c r="A96" s="31"/>
      <c r="B96" s="36" t="s">
        <v>141</v>
      </c>
      <c r="C96" s="37" t="s">
        <v>189</v>
      </c>
      <c r="D96" s="37" t="s">
        <v>190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9"/>
      <c r="AL96" s="33"/>
      <c r="AM96" s="34"/>
      <c r="AN96" s="34"/>
      <c r="AO96" s="34"/>
      <c r="AP96" s="34"/>
      <c r="AQ96" s="34"/>
      <c r="AR96" s="40"/>
    </row>
    <row r="97" s="37" customFormat="true" ht="13.8" hidden="false" customHeight="false" outlineLevel="0" collapsed="false">
      <c r="A97" s="31"/>
      <c r="B97" s="36" t="s">
        <v>141</v>
      </c>
      <c r="C97" s="37" t="s">
        <v>191</v>
      </c>
      <c r="D97" s="37" t="s">
        <v>192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9"/>
      <c r="AL97" s="33"/>
      <c r="AM97" s="34"/>
      <c r="AN97" s="34"/>
      <c r="AO97" s="34"/>
      <c r="AP97" s="34"/>
      <c r="AQ97" s="34"/>
      <c r="AR97" s="40"/>
    </row>
    <row r="98" s="37" customFormat="true" ht="13.8" hidden="false" customHeight="false" outlineLevel="0" collapsed="false">
      <c r="A98" s="31"/>
      <c r="B98" s="36" t="s">
        <v>141</v>
      </c>
      <c r="C98" s="37" t="s">
        <v>193</v>
      </c>
      <c r="D98" s="37" t="s">
        <v>194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9"/>
      <c r="AL98" s="33"/>
      <c r="AM98" s="34"/>
      <c r="AN98" s="34"/>
      <c r="AO98" s="34"/>
      <c r="AP98" s="34"/>
      <c r="AQ98" s="34"/>
      <c r="AR98" s="40"/>
    </row>
    <row r="99" s="37" customFormat="true" ht="13.8" hidden="false" customHeight="false" outlineLevel="0" collapsed="false">
      <c r="A99" s="31"/>
      <c r="B99" s="36" t="s">
        <v>141</v>
      </c>
      <c r="C99" s="37" t="s">
        <v>195</v>
      </c>
      <c r="D99" s="37" t="s">
        <v>196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9"/>
      <c r="AL99" s="33"/>
      <c r="AM99" s="34"/>
      <c r="AN99" s="34"/>
      <c r="AO99" s="34"/>
      <c r="AP99" s="34"/>
      <c r="AQ99" s="34"/>
      <c r="AR99" s="40"/>
    </row>
    <row r="100" s="37" customFormat="true" ht="13.8" hidden="false" customHeight="false" outlineLevel="0" collapsed="false">
      <c r="A100" s="31"/>
      <c r="B100" s="36" t="s">
        <v>141</v>
      </c>
      <c r="C100" s="37" t="s">
        <v>197</v>
      </c>
      <c r="D100" s="37" t="s">
        <v>198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9"/>
      <c r="AL100" s="33"/>
      <c r="AM100" s="34"/>
      <c r="AN100" s="34"/>
      <c r="AO100" s="34"/>
      <c r="AP100" s="34"/>
      <c r="AQ100" s="34"/>
      <c r="AR100" s="40"/>
    </row>
    <row r="101" s="37" customFormat="true" ht="13.8" hidden="false" customHeight="false" outlineLevel="0" collapsed="false">
      <c r="A101" s="31"/>
      <c r="B101" s="36" t="s">
        <v>141</v>
      </c>
      <c r="C101" s="37" t="s">
        <v>199</v>
      </c>
      <c r="D101" s="37" t="s">
        <v>200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9"/>
      <c r="AL101" s="33"/>
      <c r="AM101" s="34"/>
      <c r="AN101" s="34"/>
      <c r="AO101" s="34"/>
      <c r="AP101" s="34"/>
      <c r="AQ101" s="34"/>
      <c r="AR101" s="40"/>
    </row>
    <row r="102" s="37" customFormat="true" ht="13.8" hidden="false" customHeight="false" outlineLevel="0" collapsed="false">
      <c r="A102" s="31"/>
      <c r="B102" s="36" t="s">
        <v>141</v>
      </c>
      <c r="C102" s="37" t="s">
        <v>201</v>
      </c>
      <c r="D102" s="37" t="s">
        <v>202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9"/>
      <c r="AL102" s="33"/>
      <c r="AM102" s="34"/>
      <c r="AN102" s="34"/>
      <c r="AO102" s="34"/>
      <c r="AP102" s="34"/>
      <c r="AQ102" s="34"/>
      <c r="AR102" s="40"/>
    </row>
    <row r="103" s="37" customFormat="true" ht="13.8" hidden="false" customHeight="false" outlineLevel="0" collapsed="false">
      <c r="A103" s="31"/>
      <c r="B103" s="36" t="s">
        <v>141</v>
      </c>
      <c r="C103" s="37" t="s">
        <v>203</v>
      </c>
      <c r="D103" s="37" t="s">
        <v>204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9"/>
      <c r="AL103" s="33"/>
      <c r="AM103" s="34"/>
      <c r="AN103" s="34"/>
      <c r="AO103" s="34"/>
      <c r="AP103" s="34"/>
      <c r="AQ103" s="34"/>
      <c r="AR103" s="40"/>
    </row>
    <row r="104" s="37" customFormat="true" ht="13.8" hidden="false" customHeight="false" outlineLevel="0" collapsed="false">
      <c r="A104" s="31"/>
      <c r="B104" s="36" t="s">
        <v>141</v>
      </c>
      <c r="C104" s="37" t="s">
        <v>205</v>
      </c>
      <c r="D104" s="37" t="s">
        <v>206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9"/>
      <c r="AL104" s="33"/>
      <c r="AM104" s="34"/>
      <c r="AN104" s="34"/>
      <c r="AO104" s="34"/>
      <c r="AP104" s="34"/>
      <c r="AQ104" s="34"/>
      <c r="AR104" s="40"/>
    </row>
    <row r="105" s="37" customFormat="true" ht="13.8" hidden="false" customHeight="false" outlineLevel="0" collapsed="false">
      <c r="A105" s="31"/>
      <c r="B105" s="36" t="s">
        <v>141</v>
      </c>
      <c r="C105" s="37" t="s">
        <v>207</v>
      </c>
      <c r="D105" s="37" t="s">
        <v>208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9"/>
      <c r="AL105" s="33"/>
      <c r="AM105" s="34"/>
      <c r="AN105" s="34"/>
      <c r="AO105" s="34"/>
      <c r="AP105" s="34"/>
      <c r="AQ105" s="34"/>
      <c r="AR105" s="40"/>
    </row>
    <row r="106" s="37" customFormat="true" ht="13.8" hidden="false" customHeight="false" outlineLevel="0" collapsed="false">
      <c r="A106" s="31"/>
      <c r="B106" s="36" t="s">
        <v>141</v>
      </c>
      <c r="C106" s="37" t="s">
        <v>209</v>
      </c>
      <c r="D106" s="37" t="s">
        <v>210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9"/>
      <c r="AL106" s="33"/>
      <c r="AM106" s="34"/>
      <c r="AN106" s="34"/>
      <c r="AO106" s="34"/>
      <c r="AP106" s="34"/>
      <c r="AQ106" s="34"/>
      <c r="AR106" s="40"/>
    </row>
    <row r="107" s="37" customFormat="true" ht="13.8" hidden="false" customHeight="false" outlineLevel="0" collapsed="false">
      <c r="A107" s="31"/>
      <c r="B107" s="36" t="s">
        <v>141</v>
      </c>
      <c r="C107" s="37" t="s">
        <v>211</v>
      </c>
      <c r="D107" s="37" t="s">
        <v>212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9"/>
      <c r="AL107" s="33"/>
      <c r="AM107" s="34"/>
      <c r="AN107" s="34"/>
      <c r="AO107" s="34"/>
      <c r="AP107" s="34"/>
      <c r="AQ107" s="34"/>
      <c r="AR107" s="40"/>
    </row>
    <row r="108" s="37" customFormat="true" ht="13.8" hidden="false" customHeight="false" outlineLevel="0" collapsed="false">
      <c r="A108" s="31"/>
      <c r="B108" s="36" t="s">
        <v>141</v>
      </c>
      <c r="C108" s="37" t="s">
        <v>213</v>
      </c>
      <c r="D108" s="37" t="s">
        <v>214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9"/>
      <c r="AL108" s="33"/>
      <c r="AM108" s="34"/>
      <c r="AN108" s="34"/>
      <c r="AO108" s="34"/>
      <c r="AP108" s="34"/>
      <c r="AQ108" s="34"/>
      <c r="AR108" s="40"/>
    </row>
    <row r="109" s="37" customFormat="true" ht="13.8" hidden="false" customHeight="false" outlineLevel="0" collapsed="false">
      <c r="A109" s="31"/>
      <c r="B109" s="36" t="s">
        <v>141</v>
      </c>
      <c r="C109" s="37" t="s">
        <v>215</v>
      </c>
      <c r="D109" s="37" t="s">
        <v>216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9"/>
      <c r="AL109" s="33"/>
      <c r="AM109" s="34"/>
      <c r="AN109" s="34"/>
      <c r="AO109" s="34"/>
      <c r="AP109" s="34"/>
      <c r="AQ109" s="34"/>
      <c r="AR109" s="40"/>
    </row>
    <row r="110" s="37" customFormat="true" ht="13.8" hidden="false" customHeight="false" outlineLevel="0" collapsed="false">
      <c r="A110" s="31"/>
      <c r="B110" s="36" t="s">
        <v>141</v>
      </c>
      <c r="C110" s="37" t="s">
        <v>217</v>
      </c>
      <c r="D110" s="37" t="s">
        <v>218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9"/>
      <c r="AL110" s="33"/>
      <c r="AM110" s="34"/>
      <c r="AN110" s="34"/>
      <c r="AO110" s="34"/>
      <c r="AP110" s="34"/>
      <c r="AQ110" s="34"/>
      <c r="AR110" s="40"/>
    </row>
    <row r="111" s="37" customFormat="true" ht="13.8" hidden="false" customHeight="false" outlineLevel="0" collapsed="false">
      <c r="A111" s="31"/>
      <c r="B111" s="36" t="s">
        <v>141</v>
      </c>
      <c r="C111" s="37" t="s">
        <v>219</v>
      </c>
      <c r="D111" s="37" t="s">
        <v>220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9"/>
      <c r="AL111" s="33"/>
      <c r="AM111" s="34"/>
      <c r="AN111" s="34"/>
      <c r="AO111" s="34"/>
      <c r="AP111" s="34"/>
      <c r="AQ111" s="34"/>
      <c r="AR111" s="40"/>
    </row>
    <row r="112" s="37" customFormat="true" ht="13.8" hidden="false" customHeight="false" outlineLevel="0" collapsed="false">
      <c r="A112" s="31"/>
      <c r="B112" s="36" t="s">
        <v>141</v>
      </c>
      <c r="C112" s="37" t="s">
        <v>221</v>
      </c>
      <c r="D112" s="37" t="s">
        <v>222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9"/>
      <c r="AL112" s="33"/>
      <c r="AM112" s="34"/>
      <c r="AN112" s="34"/>
      <c r="AO112" s="34"/>
      <c r="AP112" s="34"/>
      <c r="AQ112" s="34"/>
      <c r="AR112" s="40"/>
    </row>
    <row r="113" s="48" customFormat="true" ht="13.8" hidden="false" customHeight="false" outlineLevel="0" collapsed="false">
      <c r="A113" s="31"/>
      <c r="B113" s="91" t="s">
        <v>141</v>
      </c>
      <c r="C113" s="48" t="s">
        <v>223</v>
      </c>
      <c r="D113" s="48" t="s">
        <v>224</v>
      </c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3"/>
      <c r="AL113" s="33"/>
      <c r="AM113" s="34"/>
      <c r="AN113" s="34"/>
      <c r="AO113" s="34"/>
      <c r="AP113" s="34"/>
      <c r="AQ113" s="34"/>
      <c r="AR113" s="50"/>
    </row>
    <row r="114" s="53" customFormat="true" ht="13.8" hidden="false" customHeight="false" outlineLevel="0" collapsed="false">
      <c r="A114" s="75" t="s">
        <v>225</v>
      </c>
      <c r="B114" s="52" t="s">
        <v>226</v>
      </c>
      <c r="C114" s="53" t="s">
        <v>227</v>
      </c>
      <c r="D114" s="53" t="s">
        <v>228</v>
      </c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5"/>
      <c r="AL114" s="3"/>
      <c r="AM114" s="4"/>
      <c r="AN114" s="4"/>
      <c r="AO114" s="4"/>
      <c r="AP114" s="4"/>
      <c r="AQ114" s="4"/>
      <c r="AR114" s="56"/>
    </row>
    <row r="115" s="69" customFormat="true" ht="13.8" hidden="false" customHeight="false" outlineLevel="0" collapsed="false">
      <c r="A115" s="75"/>
      <c r="B115" s="76" t="s">
        <v>226</v>
      </c>
      <c r="C115" s="69" t="s">
        <v>229</v>
      </c>
      <c r="D115" s="69" t="s">
        <v>230</v>
      </c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8"/>
      <c r="AL115" s="3"/>
      <c r="AM115" s="4"/>
      <c r="AN115" s="4"/>
      <c r="AO115" s="4"/>
      <c r="AP115" s="4"/>
      <c r="AQ115" s="4"/>
      <c r="AR115" s="68"/>
    </row>
    <row r="116" s="30" customFormat="true" ht="13.8" hidden="false" customHeight="false" outlineLevel="0" collapsed="false">
      <c r="A116" s="31" t="s">
        <v>231</v>
      </c>
      <c r="B116" s="29" t="s">
        <v>157</v>
      </c>
      <c r="C116" s="30" t="s">
        <v>231</v>
      </c>
      <c r="D116" s="30" t="s">
        <v>232</v>
      </c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90"/>
      <c r="AL116" s="33"/>
      <c r="AM116" s="34"/>
      <c r="AN116" s="34"/>
      <c r="AO116" s="34"/>
      <c r="AP116" s="34"/>
      <c r="AQ116" s="34"/>
      <c r="AR116" s="35"/>
    </row>
    <row r="117" s="30" customFormat="true" ht="13.8" hidden="false" customHeight="false" outlineLevel="0" collapsed="false">
      <c r="A117" s="31"/>
      <c r="B117" s="29" t="s">
        <v>233</v>
      </c>
      <c r="C117" s="94" t="s">
        <v>234</v>
      </c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90"/>
      <c r="AL117" s="33"/>
      <c r="AM117" s="34"/>
      <c r="AN117" s="34"/>
      <c r="AO117" s="34"/>
      <c r="AP117" s="34"/>
      <c r="AQ117" s="34"/>
      <c r="AR117" s="35"/>
    </row>
    <row r="118" s="30" customFormat="true" ht="13.8" hidden="false" customHeight="false" outlineLevel="0" collapsed="false">
      <c r="A118" s="31"/>
      <c r="B118" s="29" t="s">
        <v>233</v>
      </c>
      <c r="C118" s="94" t="s">
        <v>235</v>
      </c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90"/>
      <c r="AL118" s="33"/>
      <c r="AM118" s="34"/>
      <c r="AN118" s="34"/>
      <c r="AO118" s="34"/>
      <c r="AP118" s="34"/>
      <c r="AQ118" s="34"/>
      <c r="AR118" s="35"/>
    </row>
    <row r="119" s="37" customFormat="true" ht="13.8" hidden="false" customHeight="false" outlineLevel="0" collapsed="false">
      <c r="A119" s="31"/>
      <c r="B119" s="36" t="s">
        <v>236</v>
      </c>
      <c r="C119" s="37" t="s">
        <v>237</v>
      </c>
      <c r="D119" s="37" t="s">
        <v>238</v>
      </c>
      <c r="E119" s="95" t="str">
        <f aca="false">IF(E118&lt;&gt;"",((E118-E117)*20000),"")</f>
        <v/>
      </c>
      <c r="F119" s="95" t="str">
        <f aca="false">IF(F118&lt;&gt;"",((F118-F117)*20000),"")</f>
        <v/>
      </c>
      <c r="G119" s="95" t="str">
        <f aca="false">IF(G118&lt;&gt;"",((G118-G117)*20000),"")</f>
        <v/>
      </c>
      <c r="H119" s="95" t="str">
        <f aca="false">IF(H118&lt;&gt;"",((H118-H117)*20000),"")</f>
        <v/>
      </c>
      <c r="I119" s="95" t="str">
        <f aca="false">IF(I118&lt;&gt;"",((I118-I117)*20000),"")</f>
        <v/>
      </c>
      <c r="J119" s="95" t="str">
        <f aca="false">IF(J118&lt;&gt;"",((J118-J117)*20000),"")</f>
        <v/>
      </c>
      <c r="K119" s="95" t="str">
        <f aca="false">IF(K118&lt;&gt;"",((K118-K117)*20000),"")</f>
        <v/>
      </c>
      <c r="L119" s="95" t="str">
        <f aca="false">IF(L118&lt;&gt;"",((L118-L117)*20000),"")</f>
        <v/>
      </c>
      <c r="M119" s="95" t="str">
        <f aca="false">IF(M118&lt;&gt;"",((M118-M117)*20000),"")</f>
        <v/>
      </c>
      <c r="N119" s="95" t="str">
        <f aca="false">IF(N118&lt;&gt;"",((N118-N117)*20000),"")</f>
        <v/>
      </c>
      <c r="O119" s="95" t="str">
        <f aca="false">IF(O118&lt;&gt;"",((O118-O117)*20000),"")</f>
        <v/>
      </c>
      <c r="P119" s="95" t="str">
        <f aca="false">IF(P118&lt;&gt;"",((P118-P117)*20000),"")</f>
        <v/>
      </c>
      <c r="Q119" s="95" t="str">
        <f aca="false">IF(Q118&lt;&gt;"",((Q118-Q117)*20000),"")</f>
        <v/>
      </c>
      <c r="R119" s="95" t="str">
        <f aca="false">IF(R118&lt;&gt;"",((R118-R117)*20000),"")</f>
        <v/>
      </c>
      <c r="S119" s="95" t="str">
        <f aca="false">IF(S118&lt;&gt;"",((S118-S117)*20000),"")</f>
        <v/>
      </c>
      <c r="T119" s="95" t="str">
        <f aca="false">IF(T118&lt;&gt;"",((T118-T117)*20000),"")</f>
        <v/>
      </c>
      <c r="U119" s="95" t="str">
        <f aca="false">IF(U118&lt;&gt;"",((U118-U117)*20000),"")</f>
        <v/>
      </c>
      <c r="V119" s="95" t="str">
        <f aca="false">IF(V118&lt;&gt;"",((V118-V117)*20000),"")</f>
        <v/>
      </c>
      <c r="W119" s="95" t="str">
        <f aca="false">IF(W118&lt;&gt;"",((W118-W117)*20000),"")</f>
        <v/>
      </c>
      <c r="X119" s="95" t="str">
        <f aca="false">IF(X118&lt;&gt;"",((X118-X117)*20000),"")</f>
        <v/>
      </c>
      <c r="Y119" s="95" t="str">
        <f aca="false">IF(Y118&lt;&gt;"",((Y118-Y117)*20000),"")</f>
        <v/>
      </c>
      <c r="Z119" s="95" t="str">
        <f aca="false">IF(Z118&lt;&gt;"",((Z118-Z117)*20000),"")</f>
        <v/>
      </c>
      <c r="AA119" s="95" t="str">
        <f aca="false">IF(AA118&lt;&gt;"",((AA118-AA117)*20000),"")</f>
        <v/>
      </c>
      <c r="AB119" s="95" t="str">
        <f aca="false">IF(AB118&lt;&gt;"",((AB118-AB117)*20000),"")</f>
        <v/>
      </c>
      <c r="AC119" s="95" t="str">
        <f aca="false">IF(AC118&lt;&gt;"",((AC118-AC117)*20000),"")</f>
        <v/>
      </c>
      <c r="AD119" s="95" t="str">
        <f aca="false">IF(AD118&lt;&gt;"",((AD118-AD117)*20000),"")</f>
        <v/>
      </c>
      <c r="AE119" s="95" t="str">
        <f aca="false">IF(AE118&lt;&gt;"",((AE118-AE117)*20000),"")</f>
        <v/>
      </c>
      <c r="AF119" s="95" t="str">
        <f aca="false">IF(AF118&lt;&gt;"",((AF118-AF117)*20000),"")</f>
        <v/>
      </c>
      <c r="AG119" s="95" t="str">
        <f aca="false">IF(AG118&lt;&gt;"",((AG118-AG117)*20000),"")</f>
        <v/>
      </c>
      <c r="AH119" s="95" t="str">
        <f aca="false">IF(AH118&lt;&gt;"",((AH118-AH117)*20000),"")</f>
        <v/>
      </c>
      <c r="AI119" s="95" t="str">
        <f aca="false">IF(AI118&lt;&gt;"",((AI118-AI117)*20000),"")</f>
        <v/>
      </c>
      <c r="AJ119" s="95" t="str">
        <f aca="false">IF(AJ118&lt;&gt;"",((AJ118-AJ117)*20000),"")</f>
        <v/>
      </c>
      <c r="AK119" s="96" t="str">
        <f aca="false">IF(AK118&lt;&gt;"",((AK118-AK117)*20000),"")</f>
        <v/>
      </c>
      <c r="AL119" s="33"/>
      <c r="AM119" s="34"/>
      <c r="AN119" s="34"/>
      <c r="AO119" s="34"/>
      <c r="AP119" s="34"/>
      <c r="AQ119" s="34"/>
      <c r="AR119" s="40"/>
    </row>
    <row r="120" s="37" customFormat="true" ht="13.8" hidden="false" customHeight="false" outlineLevel="0" collapsed="false">
      <c r="A120" s="31"/>
      <c r="B120" s="36"/>
      <c r="C120" s="37" t="s">
        <v>239</v>
      </c>
      <c r="D120" s="37" t="s">
        <v>240</v>
      </c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9"/>
      <c r="AL120" s="33"/>
      <c r="AM120" s="34"/>
      <c r="AN120" s="34"/>
      <c r="AO120" s="34"/>
      <c r="AP120" s="34"/>
      <c r="AQ120" s="34"/>
      <c r="AR120" s="40"/>
    </row>
    <row r="121" s="37" customFormat="true" ht="13.8" hidden="false" customHeight="false" outlineLevel="0" collapsed="false">
      <c r="A121" s="31"/>
      <c r="B121" s="36"/>
      <c r="C121" s="37" t="s">
        <v>241</v>
      </c>
      <c r="D121" s="37" t="s">
        <v>242</v>
      </c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9"/>
      <c r="AL121" s="33"/>
      <c r="AM121" s="34"/>
      <c r="AN121" s="34"/>
      <c r="AO121" s="34"/>
      <c r="AP121" s="34"/>
      <c r="AQ121" s="34"/>
      <c r="AR121" s="40"/>
    </row>
    <row r="122" s="48" customFormat="true" ht="13.8" hidden="false" customHeight="false" outlineLevel="0" collapsed="false">
      <c r="A122" s="31"/>
      <c r="B122" s="91"/>
      <c r="C122" s="48" t="s">
        <v>243</v>
      </c>
      <c r="D122" s="48" t="s">
        <v>244</v>
      </c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3"/>
      <c r="AL122" s="33"/>
      <c r="AM122" s="34"/>
      <c r="AN122" s="34"/>
      <c r="AO122" s="34"/>
      <c r="AP122" s="34"/>
      <c r="AQ122" s="34"/>
      <c r="AR122" s="50"/>
    </row>
    <row r="123" s="98" customFormat="true" ht="13.8" hidden="false" customHeight="false" outlineLevel="0" collapsed="false">
      <c r="A123" s="75" t="s">
        <v>245</v>
      </c>
      <c r="B123" s="97" t="s">
        <v>157</v>
      </c>
      <c r="C123" s="98" t="s">
        <v>246</v>
      </c>
      <c r="D123" s="98" t="s">
        <v>247</v>
      </c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99"/>
      <c r="AL123" s="3"/>
      <c r="AM123" s="4"/>
      <c r="AN123" s="4"/>
      <c r="AO123" s="4"/>
      <c r="AP123" s="4"/>
      <c r="AQ123" s="4"/>
      <c r="AR123" s="100"/>
    </row>
    <row r="124" s="30" customFormat="true" ht="13.8" hidden="false" customHeight="false" outlineLevel="0" collapsed="false">
      <c r="A124" s="31" t="s">
        <v>248</v>
      </c>
      <c r="B124" s="29"/>
      <c r="C124" s="30" t="s">
        <v>249</v>
      </c>
      <c r="D124" s="30" t="s">
        <v>250</v>
      </c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90"/>
      <c r="AL124" s="33"/>
      <c r="AM124" s="34"/>
      <c r="AN124" s="34"/>
      <c r="AO124" s="34"/>
      <c r="AP124" s="34"/>
      <c r="AQ124" s="34"/>
      <c r="AR124" s="35"/>
    </row>
    <row r="125" s="37" customFormat="true" ht="13.8" hidden="false" customHeight="false" outlineLevel="0" collapsed="false">
      <c r="A125" s="31"/>
      <c r="B125" s="36"/>
      <c r="C125" s="37" t="s">
        <v>251</v>
      </c>
      <c r="D125" s="37" t="s">
        <v>252</v>
      </c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9"/>
      <c r="AL125" s="33"/>
      <c r="AM125" s="34"/>
      <c r="AN125" s="34"/>
      <c r="AO125" s="34"/>
      <c r="AP125" s="34"/>
      <c r="AQ125" s="34"/>
      <c r="AR125" s="40"/>
    </row>
    <row r="126" s="37" customFormat="true" ht="13.8" hidden="false" customHeight="false" outlineLevel="0" collapsed="false">
      <c r="A126" s="31"/>
      <c r="B126" s="36" t="s">
        <v>143</v>
      </c>
      <c r="C126" s="37" t="s">
        <v>253</v>
      </c>
      <c r="D126" s="37" t="s">
        <v>254</v>
      </c>
      <c r="E126" s="101" t="str">
        <f aca="false">IF(E125&lt;&gt;"",((E125/E124)*100),"")</f>
        <v/>
      </c>
      <c r="F126" s="101" t="str">
        <f aca="false">IF(F125&lt;&gt;"",((F125/F124)*100),"")</f>
        <v/>
      </c>
      <c r="G126" s="101" t="str">
        <f aca="false">IF(G125&lt;&gt;"",((G125/G124)*100),"")</f>
        <v/>
      </c>
      <c r="H126" s="101" t="str">
        <f aca="false">IF(H125&lt;&gt;"",((H125/H124)*100),"")</f>
        <v/>
      </c>
      <c r="I126" s="101" t="str">
        <f aca="false">IF(I125&lt;&gt;"",((I125/I124)*100),"")</f>
        <v/>
      </c>
      <c r="J126" s="101" t="str">
        <f aca="false">IF(J125&lt;&gt;"",((J125/J124)*100),"")</f>
        <v/>
      </c>
      <c r="K126" s="101" t="str">
        <f aca="false">IF(K125&lt;&gt;"",((K125/K124)*100),"")</f>
        <v/>
      </c>
      <c r="L126" s="101" t="str">
        <f aca="false">IF(L125&lt;&gt;"",((L125/L124)*100),"")</f>
        <v/>
      </c>
      <c r="M126" s="101" t="str">
        <f aca="false">IF(M125&lt;&gt;"",((M125/M124)*100),"")</f>
        <v/>
      </c>
      <c r="N126" s="101" t="str">
        <f aca="false">IF(N125&lt;&gt;"",((N125/N124)*100),"")</f>
        <v/>
      </c>
      <c r="O126" s="101" t="str">
        <f aca="false">IF(O125&lt;&gt;"",((O125/O124)*100),"")</f>
        <v/>
      </c>
      <c r="P126" s="101" t="str">
        <f aca="false">IF(P125&lt;&gt;"",((P125/P124)*100),"")</f>
        <v/>
      </c>
      <c r="Q126" s="101" t="str">
        <f aca="false">IF(Q125&lt;&gt;"",((Q125/Q124)*100),"")</f>
        <v/>
      </c>
      <c r="R126" s="101" t="str">
        <f aca="false">IF(R125&lt;&gt;"",((R125/R124)*100),"")</f>
        <v/>
      </c>
      <c r="S126" s="101" t="str">
        <f aca="false">IF(S125&lt;&gt;"",((S125/S124)*100),"")</f>
        <v/>
      </c>
      <c r="T126" s="101" t="str">
        <f aca="false">IF(T125&lt;&gt;"",((T125/T124)*100),"")</f>
        <v/>
      </c>
      <c r="U126" s="101" t="str">
        <f aca="false">IF(U125&lt;&gt;"",((U125/U124)*100),"")</f>
        <v/>
      </c>
      <c r="V126" s="101" t="str">
        <f aca="false">IF(V125&lt;&gt;"",((V125/V124)*100),"")</f>
        <v/>
      </c>
      <c r="W126" s="101" t="str">
        <f aca="false">IF(W125&lt;&gt;"",((W125/W124)*100),"")</f>
        <v/>
      </c>
      <c r="X126" s="101" t="str">
        <f aca="false">IF(X125&lt;&gt;"",((X125/X124)*100),"")</f>
        <v/>
      </c>
      <c r="Y126" s="101" t="str">
        <f aca="false">IF(Y125&lt;&gt;"",((Y125/Y124)*100),"")</f>
        <v/>
      </c>
      <c r="Z126" s="101" t="str">
        <f aca="false">IF(Z125&lt;&gt;"",((Z125/Z124)*100),"")</f>
        <v/>
      </c>
      <c r="AA126" s="101" t="str">
        <f aca="false">IF(AA125&lt;&gt;"",((AA125/AA124)*100),"")</f>
        <v/>
      </c>
      <c r="AB126" s="101" t="str">
        <f aca="false">IF(AB125&lt;&gt;"",((AB125/AB124)*100),"")</f>
        <v/>
      </c>
      <c r="AC126" s="101" t="str">
        <f aca="false">IF(AC125&lt;&gt;"",((AC125/AC124)*100),"")</f>
        <v/>
      </c>
      <c r="AD126" s="101" t="str">
        <f aca="false">IF(AD125&lt;&gt;"",((AD125/AD124)*100),"")</f>
        <v/>
      </c>
      <c r="AE126" s="101" t="str">
        <f aca="false">IF(AE125&lt;&gt;"",((AE125/AE124)*100),"")</f>
        <v/>
      </c>
      <c r="AF126" s="101" t="str">
        <f aca="false">IF(AF125&lt;&gt;"",((AF125/AF124)*100),"")</f>
        <v/>
      </c>
      <c r="AG126" s="101" t="str">
        <f aca="false">IF(AG125&lt;&gt;"",((AG125/AG124)*100),"")</f>
        <v/>
      </c>
      <c r="AH126" s="101" t="str">
        <f aca="false">IF(AH125&lt;&gt;"",((AH125/AH124)*100),"")</f>
        <v/>
      </c>
      <c r="AI126" s="101" t="str">
        <f aca="false">IF(AI125&lt;&gt;"",((AI125/AI124)*100),"")</f>
        <v/>
      </c>
      <c r="AJ126" s="101" t="str">
        <f aca="false">IF(AJ125&lt;&gt;"",((AJ125/AJ124)*100),"")</f>
        <v/>
      </c>
      <c r="AK126" s="102" t="str">
        <f aca="false">IF(AK125&lt;&gt;"",((AK125/AK124)*100),"")</f>
        <v/>
      </c>
      <c r="AL126" s="33"/>
      <c r="AM126" s="34"/>
      <c r="AN126" s="34"/>
      <c r="AO126" s="34"/>
      <c r="AP126" s="34"/>
      <c r="AQ126" s="34"/>
      <c r="AR126" s="40"/>
    </row>
    <row r="127" s="37" customFormat="true" ht="13.8" hidden="false" customHeight="false" outlineLevel="0" collapsed="false">
      <c r="A127" s="31"/>
      <c r="B127" s="36" t="s">
        <v>143</v>
      </c>
      <c r="C127" s="37" t="s">
        <v>255</v>
      </c>
      <c r="D127" s="37" t="s">
        <v>256</v>
      </c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33"/>
      <c r="AM127" s="34"/>
      <c r="AN127" s="34"/>
      <c r="AO127" s="34"/>
      <c r="AP127" s="34"/>
      <c r="AQ127" s="34"/>
      <c r="AR127" s="40"/>
    </row>
    <row r="128" s="37" customFormat="true" ht="13.8" hidden="false" customHeight="false" outlineLevel="0" collapsed="false">
      <c r="A128" s="31"/>
      <c r="B128" s="36" t="s">
        <v>143</v>
      </c>
      <c r="C128" s="37" t="s">
        <v>257</v>
      </c>
      <c r="D128" s="37" t="s">
        <v>258</v>
      </c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9"/>
      <c r="AL128" s="33"/>
      <c r="AM128" s="34"/>
      <c r="AN128" s="34"/>
      <c r="AO128" s="34"/>
      <c r="AP128" s="34"/>
      <c r="AQ128" s="34"/>
      <c r="AR128" s="40"/>
    </row>
    <row r="129" s="48" customFormat="true" ht="13.8" hidden="false" customHeight="false" outlineLevel="0" collapsed="false">
      <c r="A129" s="31"/>
      <c r="B129" s="91" t="s">
        <v>143</v>
      </c>
      <c r="C129" s="48" t="s">
        <v>259</v>
      </c>
      <c r="D129" s="48" t="s">
        <v>260</v>
      </c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3"/>
      <c r="AL129" s="33"/>
      <c r="AM129" s="34"/>
      <c r="AN129" s="34"/>
      <c r="AO129" s="34"/>
      <c r="AP129" s="34"/>
      <c r="AQ129" s="34"/>
      <c r="AR129" s="50"/>
    </row>
    <row r="130" s="48" customFormat="true" ht="13.8" hidden="false" customHeight="false" outlineLevel="0" collapsed="false">
      <c r="A130" s="31"/>
      <c r="B130" s="91" t="s">
        <v>143</v>
      </c>
      <c r="C130" s="48" t="s">
        <v>261</v>
      </c>
      <c r="D130" s="48" t="s">
        <v>262</v>
      </c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3"/>
      <c r="AL130" s="33"/>
      <c r="AM130" s="34"/>
      <c r="AN130" s="34"/>
      <c r="AO130" s="34"/>
      <c r="AP130" s="34"/>
      <c r="AQ130" s="34"/>
      <c r="AR130" s="50"/>
    </row>
    <row r="131" s="53" customFormat="true" ht="13.8" hidden="false" customHeight="false" outlineLevel="0" collapsed="false">
      <c r="A131" s="104" t="s">
        <v>263</v>
      </c>
      <c r="B131" s="52" t="s">
        <v>17</v>
      </c>
      <c r="C131" s="53" t="s">
        <v>264</v>
      </c>
      <c r="D131" s="53" t="s">
        <v>265</v>
      </c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5"/>
      <c r="AL131" s="3"/>
      <c r="AM131" s="4"/>
      <c r="AN131" s="4"/>
      <c r="AO131" s="4"/>
      <c r="AP131" s="4"/>
      <c r="AQ131" s="4"/>
      <c r="AR131" s="56"/>
    </row>
    <row r="132" s="58" customFormat="true" ht="13.8" hidden="false" customHeight="false" outlineLevel="0" collapsed="false">
      <c r="A132" s="104"/>
      <c r="B132" s="57" t="s">
        <v>17</v>
      </c>
      <c r="C132" s="58" t="s">
        <v>266</v>
      </c>
      <c r="D132" s="58" t="s">
        <v>267</v>
      </c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60"/>
      <c r="AL132" s="3"/>
      <c r="AM132" s="4"/>
      <c r="AN132" s="4"/>
      <c r="AO132" s="4"/>
      <c r="AP132" s="4"/>
      <c r="AQ132" s="4"/>
      <c r="AR132" s="61"/>
    </row>
    <row r="133" s="58" customFormat="true" ht="13.8" hidden="false" customHeight="false" outlineLevel="0" collapsed="false">
      <c r="A133" s="104"/>
      <c r="B133" s="57" t="s">
        <v>17</v>
      </c>
      <c r="C133" s="58" t="s">
        <v>268</v>
      </c>
      <c r="D133" s="58" t="s">
        <v>269</v>
      </c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60"/>
      <c r="AL133" s="3"/>
      <c r="AM133" s="4"/>
      <c r="AN133" s="4"/>
      <c r="AO133" s="4"/>
      <c r="AP133" s="4"/>
      <c r="AQ133" s="4"/>
      <c r="AR133" s="61"/>
    </row>
    <row r="134" s="58" customFormat="true" ht="13.8" hidden="false" customHeight="false" outlineLevel="0" collapsed="false">
      <c r="A134" s="104"/>
      <c r="B134" s="57" t="s">
        <v>17</v>
      </c>
      <c r="C134" s="58" t="s">
        <v>270</v>
      </c>
      <c r="D134" s="58" t="s">
        <v>271</v>
      </c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60"/>
      <c r="AL134" s="3"/>
      <c r="AM134" s="4"/>
      <c r="AN134" s="4"/>
      <c r="AO134" s="4"/>
      <c r="AP134" s="4"/>
      <c r="AQ134" s="4"/>
      <c r="AR134" s="61"/>
    </row>
    <row r="135" s="58" customFormat="true" ht="13.8" hidden="false" customHeight="false" outlineLevel="0" collapsed="false">
      <c r="A135" s="104"/>
      <c r="B135" s="57" t="s">
        <v>17</v>
      </c>
      <c r="C135" s="58" t="s">
        <v>272</v>
      </c>
      <c r="D135" s="58" t="s">
        <v>273</v>
      </c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60"/>
      <c r="AL135" s="3"/>
      <c r="AM135" s="4"/>
      <c r="AN135" s="4"/>
      <c r="AO135" s="4"/>
      <c r="AP135" s="4"/>
      <c r="AQ135" s="4"/>
      <c r="AR135" s="61"/>
    </row>
    <row r="136" s="58" customFormat="true" ht="13.8" hidden="false" customHeight="false" outlineLevel="0" collapsed="false">
      <c r="A136" s="104"/>
      <c r="B136" s="57" t="s">
        <v>17</v>
      </c>
      <c r="C136" s="58" t="s">
        <v>52</v>
      </c>
      <c r="D136" s="58" t="s">
        <v>274</v>
      </c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60"/>
      <c r="AL136" s="3"/>
      <c r="AM136" s="4"/>
      <c r="AN136" s="4"/>
      <c r="AO136" s="4"/>
      <c r="AP136" s="4"/>
      <c r="AQ136" s="4"/>
      <c r="AR136" s="61"/>
    </row>
    <row r="137" s="58" customFormat="true" ht="13.8" hidden="false" customHeight="false" outlineLevel="0" collapsed="false">
      <c r="A137" s="104"/>
      <c r="B137" s="57" t="s">
        <v>17</v>
      </c>
      <c r="C137" s="58" t="s">
        <v>42</v>
      </c>
      <c r="D137" s="58" t="s">
        <v>275</v>
      </c>
      <c r="E137" s="41" t="str">
        <f aca="false">IF(E131&lt;&gt;"",SUM(E131:E136),"")</f>
        <v/>
      </c>
      <c r="F137" s="41" t="str">
        <f aca="false">IF(F131&lt;&gt;"",SUM(F131:F136),"")</f>
        <v/>
      </c>
      <c r="G137" s="41" t="str">
        <f aca="false">IF(G131&lt;&gt;"",SUM(G131:G136),"")</f>
        <v/>
      </c>
      <c r="H137" s="41" t="str">
        <f aca="false">IF(H131&lt;&gt;"",SUM(H131:H136),"")</f>
        <v/>
      </c>
      <c r="I137" s="41" t="str">
        <f aca="false">IF(I131&lt;&gt;"",SUM(I131:I136),"")</f>
        <v/>
      </c>
      <c r="J137" s="41" t="str">
        <f aca="false">IF(J131&lt;&gt;"",SUM(J131:J136),"")</f>
        <v/>
      </c>
      <c r="K137" s="41" t="str">
        <f aca="false">IF(K131&lt;&gt;"",SUM(K131:K136),"")</f>
        <v/>
      </c>
      <c r="L137" s="41" t="str">
        <f aca="false">IF(L131&lt;&gt;"",SUM(L131:L136),"")</f>
        <v/>
      </c>
      <c r="M137" s="41" t="str">
        <f aca="false">IF(M131&lt;&gt;"",SUM(M131:M136),"")</f>
        <v/>
      </c>
      <c r="N137" s="41" t="str">
        <f aca="false">IF(N131&lt;&gt;"",SUM(N131:N136),"")</f>
        <v/>
      </c>
      <c r="O137" s="41" t="str">
        <f aca="false">IF(O131&lt;&gt;"",SUM(O131:O136),"")</f>
        <v/>
      </c>
      <c r="P137" s="41" t="str">
        <f aca="false">IF(P131&lt;&gt;"",SUM(P131:P136),"")</f>
        <v/>
      </c>
      <c r="Q137" s="41" t="str">
        <f aca="false">IF(Q131&lt;&gt;"",SUM(Q131:Q136),"")</f>
        <v/>
      </c>
      <c r="R137" s="41" t="str">
        <f aca="false">IF(R131&lt;&gt;"",SUM(R131:R136),"")</f>
        <v/>
      </c>
      <c r="S137" s="41" t="str">
        <f aca="false">IF(S131&lt;&gt;"",SUM(S131:S136),"")</f>
        <v/>
      </c>
      <c r="T137" s="41" t="str">
        <f aca="false">IF(T131&lt;&gt;"",SUM(T131:T136),"")</f>
        <v/>
      </c>
      <c r="U137" s="41" t="str">
        <f aca="false">IF(U131&lt;&gt;"",SUM(U131:U136),"")</f>
        <v/>
      </c>
      <c r="V137" s="41" t="str">
        <f aca="false">IF(V131&lt;&gt;"",SUM(V131:V136),"")</f>
        <v/>
      </c>
      <c r="W137" s="41" t="str">
        <f aca="false">IF(W131&lt;&gt;"",SUM(W131:W136),"")</f>
        <v/>
      </c>
      <c r="X137" s="41" t="str">
        <f aca="false">IF(X131&lt;&gt;"",SUM(X131:X136),"")</f>
        <v/>
      </c>
      <c r="Y137" s="41" t="str">
        <f aca="false">IF(Y131&lt;&gt;"",SUM(Y131:Y136),"")</f>
        <v/>
      </c>
      <c r="Z137" s="41" t="str">
        <f aca="false">IF(Z131&lt;&gt;"",SUM(Z131:Z136),"")</f>
        <v/>
      </c>
      <c r="AA137" s="41" t="str">
        <f aca="false">IF(AA131&lt;&gt;"",SUM(AA131:AA136),"")</f>
        <v/>
      </c>
      <c r="AB137" s="41" t="str">
        <f aca="false">IF(AB131&lt;&gt;"",SUM(AB131:AB136),"")</f>
        <v/>
      </c>
      <c r="AC137" s="41" t="str">
        <f aca="false">IF(AC131&lt;&gt;"",SUM(AC131:AC136),"")</f>
        <v/>
      </c>
      <c r="AD137" s="41" t="str">
        <f aca="false">IF(AD131&lt;&gt;"",SUM(AD131:AD136),"")</f>
        <v/>
      </c>
      <c r="AE137" s="41" t="str">
        <f aca="false">IF(AE131&lt;&gt;"",SUM(AE131:AE136),"")</f>
        <v/>
      </c>
      <c r="AF137" s="41" t="str">
        <f aca="false">IF(AF131&lt;&gt;"",SUM(AF131:AF136),"")</f>
        <v/>
      </c>
      <c r="AG137" s="41" t="str">
        <f aca="false">IF(AG131&lt;&gt;"",SUM(AG131:AG136),"")</f>
        <v/>
      </c>
      <c r="AH137" s="41" t="str">
        <f aca="false">IF(AH131&lt;&gt;"",SUM(AH131:AH136),"")</f>
        <v/>
      </c>
      <c r="AI137" s="41" t="str">
        <f aca="false">IF(AI131&lt;&gt;"",SUM(AI131:AI136),"")</f>
        <v/>
      </c>
      <c r="AJ137" s="41" t="str">
        <f aca="false">IF(AJ131&lt;&gt;"",SUM(AJ131:AJ136),"")</f>
        <v/>
      </c>
      <c r="AK137" s="42" t="str">
        <f aca="false">IF(AK131&lt;&gt;"",SUM(AK131:AK136),"")</f>
        <v/>
      </c>
      <c r="AL137" s="3"/>
      <c r="AM137" s="4"/>
      <c r="AN137" s="4"/>
      <c r="AO137" s="4"/>
      <c r="AP137" s="4"/>
      <c r="AQ137" s="4"/>
      <c r="AR137" s="61"/>
    </row>
    <row r="138" s="58" customFormat="true" ht="13.8" hidden="false" customHeight="false" outlineLevel="0" collapsed="false">
      <c r="A138" s="104"/>
      <c r="B138" s="57" t="s">
        <v>17</v>
      </c>
      <c r="C138" s="58" t="s">
        <v>44</v>
      </c>
      <c r="D138" s="58" t="s">
        <v>276</v>
      </c>
      <c r="E138" s="43" t="str">
        <f aca="false">IF(E132&lt;&gt;"",SUM(E132:E136),"")</f>
        <v/>
      </c>
      <c r="F138" s="43" t="str">
        <f aca="false">IF(F132&lt;&gt;"",SUM(F132:F136),"")</f>
        <v/>
      </c>
      <c r="G138" s="43" t="str">
        <f aca="false">IF(G132&lt;&gt;"",SUM(G132:G136),"")</f>
        <v/>
      </c>
      <c r="H138" s="43" t="str">
        <f aca="false">IF(H132&lt;&gt;"",SUM(H132:H136),"")</f>
        <v/>
      </c>
      <c r="I138" s="43" t="str">
        <f aca="false">IF(I132&lt;&gt;"",SUM(I132:I136),"")</f>
        <v/>
      </c>
      <c r="J138" s="43" t="str">
        <f aca="false">IF(J132&lt;&gt;"",SUM(J132:J136),"")</f>
        <v/>
      </c>
      <c r="K138" s="43" t="str">
        <f aca="false">IF(K132&lt;&gt;"",SUM(K132:K136),"")</f>
        <v/>
      </c>
      <c r="L138" s="43" t="str">
        <f aca="false">IF(L132&lt;&gt;"",SUM(L132:L136),"")</f>
        <v/>
      </c>
      <c r="M138" s="43" t="str">
        <f aca="false">IF(M132&lt;&gt;"",SUM(M132:M136),"")</f>
        <v/>
      </c>
      <c r="N138" s="43" t="str">
        <f aca="false">IF(N132&lt;&gt;"",SUM(N132:N136),"")</f>
        <v/>
      </c>
      <c r="O138" s="43" t="str">
        <f aca="false">IF(O132&lt;&gt;"",SUM(O132:O136),"")</f>
        <v/>
      </c>
      <c r="P138" s="43" t="str">
        <f aca="false">IF(P132&lt;&gt;"",SUM(P132:P136),"")</f>
        <v/>
      </c>
      <c r="Q138" s="43" t="str">
        <f aca="false">IF(Q132&lt;&gt;"",SUM(Q132:Q136),"")</f>
        <v/>
      </c>
      <c r="R138" s="43" t="str">
        <f aca="false">IF(R132&lt;&gt;"",SUM(R132:R136),"")</f>
        <v/>
      </c>
      <c r="S138" s="43" t="str">
        <f aca="false">IF(S132&lt;&gt;"",SUM(S132:S136),"")</f>
        <v/>
      </c>
      <c r="T138" s="43" t="str">
        <f aca="false">IF(T132&lt;&gt;"",SUM(T132:T136),"")</f>
        <v/>
      </c>
      <c r="U138" s="43" t="str">
        <f aca="false">IF(U132&lt;&gt;"",SUM(U132:U136),"")</f>
        <v/>
      </c>
      <c r="V138" s="43" t="str">
        <f aca="false">IF(V132&lt;&gt;"",SUM(V132:V136),"")</f>
        <v/>
      </c>
      <c r="W138" s="43" t="str">
        <f aca="false">IF(W132&lt;&gt;"",SUM(W132:W136),"")</f>
        <v/>
      </c>
      <c r="X138" s="43" t="str">
        <f aca="false">IF(X132&lt;&gt;"",SUM(X132:X136),"")</f>
        <v/>
      </c>
      <c r="Y138" s="43" t="str">
        <f aca="false">IF(Y132&lt;&gt;"",SUM(Y132:Y136),"")</f>
        <v/>
      </c>
      <c r="Z138" s="43" t="str">
        <f aca="false">IF(Z132&lt;&gt;"",SUM(Z132:Z136),"")</f>
        <v/>
      </c>
      <c r="AA138" s="43" t="str">
        <f aca="false">IF(AA132&lt;&gt;"",SUM(AA132:AA136),"")</f>
        <v/>
      </c>
      <c r="AB138" s="43" t="str">
        <f aca="false">IF(AB132&lt;&gt;"",SUM(AB132:AB136),"")</f>
        <v/>
      </c>
      <c r="AC138" s="43" t="str">
        <f aca="false">IF(AC132&lt;&gt;"",SUM(AC132:AC136),"")</f>
        <v/>
      </c>
      <c r="AD138" s="43" t="str">
        <f aca="false">IF(AD132&lt;&gt;"",SUM(AD132:AD136),"")</f>
        <v/>
      </c>
      <c r="AE138" s="43" t="str">
        <f aca="false">IF(AE132&lt;&gt;"",SUM(AE132:AE136),"")</f>
        <v/>
      </c>
      <c r="AF138" s="43" t="str">
        <f aca="false">IF(AF132&lt;&gt;"",SUM(AF132:AF136),"")</f>
        <v/>
      </c>
      <c r="AG138" s="43" t="str">
        <f aca="false">IF(AG132&lt;&gt;"",SUM(AG132:AG136),"")</f>
        <v/>
      </c>
      <c r="AH138" s="43" t="str">
        <f aca="false">IF(AH132&lt;&gt;"",SUM(AH132:AH136),"")</f>
        <v/>
      </c>
      <c r="AI138" s="43" t="str">
        <f aca="false">IF(AI132&lt;&gt;"",SUM(AI132:AI136),"")</f>
        <v/>
      </c>
      <c r="AJ138" s="43" t="str">
        <f aca="false">IF(AJ132&lt;&gt;"",SUM(AJ132:AJ136),"")</f>
        <v/>
      </c>
      <c r="AK138" s="44" t="str">
        <f aca="false">IF(AK132&lt;&gt;"",SUM(AK132:AK136),"")</f>
        <v/>
      </c>
      <c r="AL138" s="3"/>
      <c r="AM138" s="4"/>
      <c r="AN138" s="4"/>
      <c r="AO138" s="4"/>
      <c r="AP138" s="4"/>
      <c r="AQ138" s="4"/>
      <c r="AR138" s="61"/>
    </row>
    <row r="139" s="58" customFormat="true" ht="13.8" hidden="false" customHeight="false" outlineLevel="0" collapsed="false">
      <c r="A139" s="104"/>
      <c r="B139" s="57" t="s">
        <v>17</v>
      </c>
      <c r="C139" s="58" t="s">
        <v>46</v>
      </c>
      <c r="D139" s="58" t="s">
        <v>277</v>
      </c>
      <c r="E139" s="43" t="str">
        <f aca="false">IF(E133&lt;&gt;"",SUM(E133:E136),"")</f>
        <v/>
      </c>
      <c r="F139" s="43" t="str">
        <f aca="false">IF(F133&lt;&gt;"",SUM(F133:F136),"")</f>
        <v/>
      </c>
      <c r="G139" s="43" t="str">
        <f aca="false">IF(G133&lt;&gt;"",SUM(G133:G136),"")</f>
        <v/>
      </c>
      <c r="H139" s="43" t="str">
        <f aca="false">IF(H133&lt;&gt;"",SUM(H133:H136),"")</f>
        <v/>
      </c>
      <c r="I139" s="43" t="str">
        <f aca="false">IF(I133&lt;&gt;"",SUM(I133:I136),"")</f>
        <v/>
      </c>
      <c r="J139" s="43" t="str">
        <f aca="false">IF(J133&lt;&gt;"",SUM(J133:J136),"")</f>
        <v/>
      </c>
      <c r="K139" s="43" t="str">
        <f aca="false">IF(K133&lt;&gt;"",SUM(K133:K136),"")</f>
        <v/>
      </c>
      <c r="L139" s="43" t="str">
        <f aca="false">IF(L133&lt;&gt;"",SUM(L133:L136),"")</f>
        <v/>
      </c>
      <c r="M139" s="43" t="str">
        <f aca="false">IF(M133&lt;&gt;"",SUM(M133:M136),"")</f>
        <v/>
      </c>
      <c r="N139" s="43" t="str">
        <f aca="false">IF(N133&lt;&gt;"",SUM(N133:N136),"")</f>
        <v/>
      </c>
      <c r="O139" s="43" t="str">
        <f aca="false">IF(O133&lt;&gt;"",SUM(O133:O136),"")</f>
        <v/>
      </c>
      <c r="P139" s="43" t="str">
        <f aca="false">IF(P133&lt;&gt;"",SUM(P133:P136),"")</f>
        <v/>
      </c>
      <c r="Q139" s="43" t="str">
        <f aca="false">IF(Q133&lt;&gt;"",SUM(Q133:Q136),"")</f>
        <v/>
      </c>
      <c r="R139" s="43" t="str">
        <f aca="false">IF(R133&lt;&gt;"",SUM(R133:R136),"")</f>
        <v/>
      </c>
      <c r="S139" s="43" t="str">
        <f aca="false">IF(S133&lt;&gt;"",SUM(S133:S136),"")</f>
        <v/>
      </c>
      <c r="T139" s="43" t="str">
        <f aca="false">IF(T133&lt;&gt;"",SUM(T133:T136),"")</f>
        <v/>
      </c>
      <c r="U139" s="43" t="str">
        <f aca="false">IF(U133&lt;&gt;"",SUM(U133:U136),"")</f>
        <v/>
      </c>
      <c r="V139" s="43" t="str">
        <f aca="false">IF(V133&lt;&gt;"",SUM(V133:V136),"")</f>
        <v/>
      </c>
      <c r="W139" s="43" t="str">
        <f aca="false">IF(W133&lt;&gt;"",SUM(W133:W136),"")</f>
        <v/>
      </c>
      <c r="X139" s="43" t="str">
        <f aca="false">IF(X133&lt;&gt;"",SUM(X133:X136),"")</f>
        <v/>
      </c>
      <c r="Y139" s="43" t="str">
        <f aca="false">IF(Y133&lt;&gt;"",SUM(Y133:Y136),"")</f>
        <v/>
      </c>
      <c r="Z139" s="43" t="str">
        <f aca="false">IF(Z133&lt;&gt;"",SUM(Z133:Z136),"")</f>
        <v/>
      </c>
      <c r="AA139" s="43" t="str">
        <f aca="false">IF(AA133&lt;&gt;"",SUM(AA133:AA136),"")</f>
        <v/>
      </c>
      <c r="AB139" s="43" t="str">
        <f aca="false">IF(AB133&lt;&gt;"",SUM(AB133:AB136),"")</f>
        <v/>
      </c>
      <c r="AC139" s="43" t="str">
        <f aca="false">IF(AC133&lt;&gt;"",SUM(AC133:AC136),"")</f>
        <v/>
      </c>
      <c r="AD139" s="43" t="str">
        <f aca="false">IF(AD133&lt;&gt;"",SUM(AD133:AD136),"")</f>
        <v/>
      </c>
      <c r="AE139" s="43" t="str">
        <f aca="false">IF(AE133&lt;&gt;"",SUM(AE133:AE136),"")</f>
        <v/>
      </c>
      <c r="AF139" s="43" t="str">
        <f aca="false">IF(AF133&lt;&gt;"",SUM(AF133:AF136),"")</f>
        <v/>
      </c>
      <c r="AG139" s="43" t="str">
        <f aca="false">IF(AG133&lt;&gt;"",SUM(AG133:AG136),"")</f>
        <v/>
      </c>
      <c r="AH139" s="43" t="str">
        <f aca="false">IF(AH133&lt;&gt;"",SUM(AH133:AH136),"")</f>
        <v/>
      </c>
      <c r="AI139" s="43" t="str">
        <f aca="false">IF(AI133&lt;&gt;"",SUM(AI133:AI136),"")</f>
        <v/>
      </c>
      <c r="AJ139" s="43" t="str">
        <f aca="false">IF(AJ133&lt;&gt;"",SUM(AJ133:AJ136),"")</f>
        <v/>
      </c>
      <c r="AK139" s="44" t="str">
        <f aca="false">IF(AK133&lt;&gt;"",SUM(AK133:AK136),"")</f>
        <v/>
      </c>
      <c r="AL139" s="3"/>
      <c r="AM139" s="4"/>
      <c r="AN139" s="4"/>
      <c r="AO139" s="4"/>
      <c r="AP139" s="4"/>
      <c r="AQ139" s="4"/>
      <c r="AR139" s="61"/>
    </row>
    <row r="140" s="58" customFormat="true" ht="13.8" hidden="false" customHeight="false" outlineLevel="0" collapsed="false">
      <c r="A140" s="104"/>
      <c r="B140" s="57" t="s">
        <v>17</v>
      </c>
      <c r="C140" s="58" t="s">
        <v>48</v>
      </c>
      <c r="D140" s="58" t="s">
        <v>278</v>
      </c>
      <c r="E140" s="43" t="str">
        <f aca="false">IF(E134&lt;&gt;"",SUM(E134:E136),"")</f>
        <v/>
      </c>
      <c r="F140" s="43" t="str">
        <f aca="false">IF(F134&lt;&gt;"",SUM(F134:F136),"")</f>
        <v/>
      </c>
      <c r="G140" s="43" t="str">
        <f aca="false">IF(G134&lt;&gt;"",SUM(G134:G136),"")</f>
        <v/>
      </c>
      <c r="H140" s="43" t="str">
        <f aca="false">IF(H134&lt;&gt;"",SUM(H134:H136),"")</f>
        <v/>
      </c>
      <c r="I140" s="43" t="str">
        <f aca="false">IF(I134&lt;&gt;"",SUM(I134:I136),"")</f>
        <v/>
      </c>
      <c r="J140" s="43" t="str">
        <f aca="false">IF(J134&lt;&gt;"",SUM(J134:J136),"")</f>
        <v/>
      </c>
      <c r="K140" s="43" t="str">
        <f aca="false">IF(K134&lt;&gt;"",SUM(K134:K136),"")</f>
        <v/>
      </c>
      <c r="L140" s="43" t="str">
        <f aca="false">IF(L134&lt;&gt;"",SUM(L134:L136),"")</f>
        <v/>
      </c>
      <c r="M140" s="43" t="str">
        <f aca="false">IF(M134&lt;&gt;"",SUM(M134:M136),"")</f>
        <v/>
      </c>
      <c r="N140" s="43" t="str">
        <f aca="false">IF(N134&lt;&gt;"",SUM(N134:N136),"")</f>
        <v/>
      </c>
      <c r="O140" s="43" t="str">
        <f aca="false">IF(O134&lt;&gt;"",SUM(O134:O136),"")</f>
        <v/>
      </c>
      <c r="P140" s="43" t="str">
        <f aca="false">IF(P134&lt;&gt;"",SUM(P134:P136),"")</f>
        <v/>
      </c>
      <c r="Q140" s="43" t="str">
        <f aca="false">IF(Q134&lt;&gt;"",SUM(Q134:Q136),"")</f>
        <v/>
      </c>
      <c r="R140" s="43" t="str">
        <f aca="false">IF(R134&lt;&gt;"",SUM(R134:R136),"")</f>
        <v/>
      </c>
      <c r="S140" s="43" t="str">
        <f aca="false">IF(S134&lt;&gt;"",SUM(S134:S136),"")</f>
        <v/>
      </c>
      <c r="T140" s="43" t="str">
        <f aca="false">IF(T134&lt;&gt;"",SUM(T134:T136),"")</f>
        <v/>
      </c>
      <c r="U140" s="43" t="str">
        <f aca="false">IF(U134&lt;&gt;"",SUM(U134:U136),"")</f>
        <v/>
      </c>
      <c r="V140" s="43" t="str">
        <f aca="false">IF(V134&lt;&gt;"",SUM(V134:V136),"")</f>
        <v/>
      </c>
      <c r="W140" s="43" t="str">
        <f aca="false">IF(W134&lt;&gt;"",SUM(W134:W136),"")</f>
        <v/>
      </c>
      <c r="X140" s="43" t="str">
        <f aca="false">IF(X134&lt;&gt;"",SUM(X134:X136),"")</f>
        <v/>
      </c>
      <c r="Y140" s="43" t="str">
        <f aca="false">IF(Y134&lt;&gt;"",SUM(Y134:Y136),"")</f>
        <v/>
      </c>
      <c r="Z140" s="43" t="str">
        <f aca="false">IF(Z134&lt;&gt;"",SUM(Z134:Z136),"")</f>
        <v/>
      </c>
      <c r="AA140" s="43" t="str">
        <f aca="false">IF(AA134&lt;&gt;"",SUM(AA134:AA136),"")</f>
        <v/>
      </c>
      <c r="AB140" s="43" t="str">
        <f aca="false">IF(AB134&lt;&gt;"",SUM(AB134:AB136),"")</f>
        <v/>
      </c>
      <c r="AC140" s="43" t="str">
        <f aca="false">IF(AC134&lt;&gt;"",SUM(AC134:AC136),"")</f>
        <v/>
      </c>
      <c r="AD140" s="43" t="str">
        <f aca="false">IF(AD134&lt;&gt;"",SUM(AD134:AD136),"")</f>
        <v/>
      </c>
      <c r="AE140" s="43" t="str">
        <f aca="false">IF(AE134&lt;&gt;"",SUM(AE134:AE136),"")</f>
        <v/>
      </c>
      <c r="AF140" s="43" t="str">
        <f aca="false">IF(AF134&lt;&gt;"",SUM(AF134:AF136),"")</f>
        <v/>
      </c>
      <c r="AG140" s="43" t="str">
        <f aca="false">IF(AG134&lt;&gt;"",SUM(AG134:AG136),"")</f>
        <v/>
      </c>
      <c r="AH140" s="43" t="str">
        <f aca="false">IF(AH134&lt;&gt;"",SUM(AH134:AH136),"")</f>
        <v/>
      </c>
      <c r="AI140" s="43" t="str">
        <f aca="false">IF(AI134&lt;&gt;"",SUM(AI134:AI136),"")</f>
        <v/>
      </c>
      <c r="AJ140" s="43" t="str">
        <f aca="false">IF(AJ134&lt;&gt;"",SUM(AJ134:AJ136),"")</f>
        <v/>
      </c>
      <c r="AK140" s="44" t="str">
        <f aca="false">IF(AK134&lt;&gt;"",SUM(AK134:AK136),"")</f>
        <v/>
      </c>
      <c r="AL140" s="3"/>
      <c r="AM140" s="4"/>
      <c r="AN140" s="4"/>
      <c r="AO140" s="4"/>
      <c r="AP140" s="4"/>
      <c r="AQ140" s="4"/>
      <c r="AR140" s="61"/>
    </row>
    <row r="141" s="58" customFormat="true" ht="13.8" hidden="false" customHeight="false" outlineLevel="0" collapsed="false">
      <c r="A141" s="104"/>
      <c r="B141" s="57" t="s">
        <v>17</v>
      </c>
      <c r="C141" s="58" t="s">
        <v>50</v>
      </c>
      <c r="D141" s="58" t="s">
        <v>279</v>
      </c>
      <c r="E141" s="43" t="str">
        <f aca="false">IF(E135&lt;&gt;"",SUM(E135:E136),"")</f>
        <v/>
      </c>
      <c r="F141" s="43" t="str">
        <f aca="false">IF(F135&lt;&gt;"",SUM(F135:F136),"")</f>
        <v/>
      </c>
      <c r="G141" s="43" t="str">
        <f aca="false">IF(G135&lt;&gt;"",SUM(G135:G136),"")</f>
        <v/>
      </c>
      <c r="H141" s="43" t="str">
        <f aca="false">IF(H135&lt;&gt;"",SUM(H135:H136),"")</f>
        <v/>
      </c>
      <c r="I141" s="43" t="str">
        <f aca="false">IF(I135&lt;&gt;"",SUM(I135:I136),"")</f>
        <v/>
      </c>
      <c r="J141" s="43" t="str">
        <f aca="false">IF(J135&lt;&gt;"",SUM(J135:J136),"")</f>
        <v/>
      </c>
      <c r="K141" s="43" t="str">
        <f aca="false">IF(K135&lt;&gt;"",SUM(K135:K136),"")</f>
        <v/>
      </c>
      <c r="L141" s="43" t="str">
        <f aca="false">IF(L135&lt;&gt;"",SUM(L135:L136),"")</f>
        <v/>
      </c>
      <c r="M141" s="43" t="str">
        <f aca="false">IF(M135&lt;&gt;"",SUM(M135:M136),"")</f>
        <v/>
      </c>
      <c r="N141" s="43" t="str">
        <f aca="false">IF(N135&lt;&gt;"",SUM(N135:N136),"")</f>
        <v/>
      </c>
      <c r="O141" s="43" t="str">
        <f aca="false">IF(O135&lt;&gt;"",SUM(O135:O136),"")</f>
        <v/>
      </c>
      <c r="P141" s="43" t="str">
        <f aca="false">IF(P135&lt;&gt;"",SUM(P135:P136),"")</f>
        <v/>
      </c>
      <c r="Q141" s="43" t="str">
        <f aca="false">IF(Q135&lt;&gt;"",SUM(Q135:Q136),"")</f>
        <v/>
      </c>
      <c r="R141" s="43" t="str">
        <f aca="false">IF(R135&lt;&gt;"",SUM(R135:R136),"")</f>
        <v/>
      </c>
      <c r="S141" s="43" t="str">
        <f aca="false">IF(S135&lt;&gt;"",SUM(S135:S136),"")</f>
        <v/>
      </c>
      <c r="T141" s="43" t="str">
        <f aca="false">IF(T135&lt;&gt;"",SUM(T135:T136),"")</f>
        <v/>
      </c>
      <c r="U141" s="43" t="str">
        <f aca="false">IF(U135&lt;&gt;"",SUM(U135:U136),"")</f>
        <v/>
      </c>
      <c r="V141" s="43" t="str">
        <f aca="false">IF(V135&lt;&gt;"",SUM(V135:V136),"")</f>
        <v/>
      </c>
      <c r="W141" s="43" t="str">
        <f aca="false">IF(W135&lt;&gt;"",SUM(W135:W136),"")</f>
        <v/>
      </c>
      <c r="X141" s="43" t="str">
        <f aca="false">IF(X135&lt;&gt;"",SUM(X135:X136),"")</f>
        <v/>
      </c>
      <c r="Y141" s="43" t="str">
        <f aca="false">IF(Y135&lt;&gt;"",SUM(Y135:Y136),"")</f>
        <v/>
      </c>
      <c r="Z141" s="43" t="str">
        <f aca="false">IF(Z135&lt;&gt;"",SUM(Z135:Z136),"")</f>
        <v/>
      </c>
      <c r="AA141" s="43" t="str">
        <f aca="false">IF(AA135&lt;&gt;"",SUM(AA135:AA136),"")</f>
        <v/>
      </c>
      <c r="AB141" s="43" t="str">
        <f aca="false">IF(AB135&lt;&gt;"",SUM(AB135:AB136),"")</f>
        <v/>
      </c>
      <c r="AC141" s="43" t="str">
        <f aca="false">IF(AC135&lt;&gt;"",SUM(AC135:AC136),"")</f>
        <v/>
      </c>
      <c r="AD141" s="43" t="str">
        <f aca="false">IF(AD135&lt;&gt;"",SUM(AD135:AD136),"")</f>
        <v/>
      </c>
      <c r="AE141" s="43" t="str">
        <f aca="false">IF(AE135&lt;&gt;"",SUM(AE135:AE136),"")</f>
        <v/>
      </c>
      <c r="AF141" s="43" t="str">
        <f aca="false">IF(AF135&lt;&gt;"",SUM(AF135:AF136),"")</f>
        <v/>
      </c>
      <c r="AG141" s="43" t="str">
        <f aca="false">IF(AG135&lt;&gt;"",SUM(AG135:AG136),"")</f>
        <v/>
      </c>
      <c r="AH141" s="43" t="str">
        <f aca="false">IF(AH135&lt;&gt;"",SUM(AH135:AH136),"")</f>
        <v/>
      </c>
      <c r="AI141" s="43" t="str">
        <f aca="false">IF(AI135&lt;&gt;"",SUM(AI135:AI136),"")</f>
        <v/>
      </c>
      <c r="AJ141" s="43" t="str">
        <f aca="false">IF(AJ135&lt;&gt;"",SUM(AJ135:AJ136),"")</f>
        <v/>
      </c>
      <c r="AK141" s="44" t="str">
        <f aca="false">IF(AK135&lt;&gt;"",SUM(AK135:AK136),"")</f>
        <v/>
      </c>
      <c r="AL141" s="3"/>
      <c r="AM141" s="4"/>
      <c r="AN141" s="4"/>
      <c r="AO141" s="4"/>
      <c r="AP141" s="4"/>
      <c r="AQ141" s="4"/>
      <c r="AR141" s="61"/>
    </row>
    <row r="142" s="58" customFormat="true" ht="13.8" hidden="false" customHeight="false" outlineLevel="0" collapsed="false">
      <c r="A142" s="104"/>
      <c r="B142" s="57" t="s">
        <v>17</v>
      </c>
      <c r="C142" s="58" t="s">
        <v>52</v>
      </c>
      <c r="D142" s="58" t="s">
        <v>280</v>
      </c>
      <c r="E142" s="43" t="str">
        <f aca="false">IF(E136&lt;&gt;"",E136,"")</f>
        <v/>
      </c>
      <c r="F142" s="43" t="str">
        <f aca="false">IF(F136&lt;&gt;"",F136,"")</f>
        <v/>
      </c>
      <c r="G142" s="43" t="str">
        <f aca="false">IF(G136&lt;&gt;"",G136,"")</f>
        <v/>
      </c>
      <c r="H142" s="43" t="str">
        <f aca="false">IF(H136&lt;&gt;"",H136,"")</f>
        <v/>
      </c>
      <c r="I142" s="43" t="str">
        <f aca="false">IF(I136&lt;&gt;"",I136,"")</f>
        <v/>
      </c>
      <c r="J142" s="43" t="str">
        <f aca="false">IF(J136&lt;&gt;"",J136,"")</f>
        <v/>
      </c>
      <c r="K142" s="43" t="str">
        <f aca="false">IF(K136&lt;&gt;"",K136,"")</f>
        <v/>
      </c>
      <c r="L142" s="43" t="str">
        <f aca="false">IF(L136&lt;&gt;"",L136,"")</f>
        <v/>
      </c>
      <c r="M142" s="43" t="str">
        <f aca="false">IF(M136&lt;&gt;"",M136,"")</f>
        <v/>
      </c>
      <c r="N142" s="43" t="str">
        <f aca="false">IF(N136&lt;&gt;"",N136,"")</f>
        <v/>
      </c>
      <c r="O142" s="43" t="str">
        <f aca="false">IF(O136&lt;&gt;"",O136,"")</f>
        <v/>
      </c>
      <c r="P142" s="43" t="str">
        <f aca="false">IF(P136&lt;&gt;"",P136,"")</f>
        <v/>
      </c>
      <c r="Q142" s="43" t="str">
        <f aca="false">IF(Q136&lt;&gt;"",Q136,"")</f>
        <v/>
      </c>
      <c r="R142" s="43" t="str">
        <f aca="false">IF(R136&lt;&gt;"",R136,"")</f>
        <v/>
      </c>
      <c r="S142" s="43" t="str">
        <f aca="false">IF(S136&lt;&gt;"",S136,"")</f>
        <v/>
      </c>
      <c r="T142" s="43" t="str">
        <f aca="false">IF(T136&lt;&gt;"",T136,"")</f>
        <v/>
      </c>
      <c r="U142" s="43" t="str">
        <f aca="false">IF(U136&lt;&gt;"",U136,"")</f>
        <v/>
      </c>
      <c r="V142" s="43" t="str">
        <f aca="false">IF(V136&lt;&gt;"",V136,"")</f>
        <v/>
      </c>
      <c r="W142" s="43" t="str">
        <f aca="false">IF(W136&lt;&gt;"",W136,"")</f>
        <v/>
      </c>
      <c r="X142" s="43" t="str">
        <f aca="false">IF(X136&lt;&gt;"",X136,"")</f>
        <v/>
      </c>
      <c r="Y142" s="43" t="str">
        <f aca="false">IF(Y136&lt;&gt;"",Y136,"")</f>
        <v/>
      </c>
      <c r="Z142" s="43" t="str">
        <f aca="false">IF(Z136&lt;&gt;"",Z136,"")</f>
        <v/>
      </c>
      <c r="AA142" s="43" t="str">
        <f aca="false">IF(AA136&lt;&gt;"",AA136,"")</f>
        <v/>
      </c>
      <c r="AB142" s="43" t="str">
        <f aca="false">IF(AB136&lt;&gt;"",AB136,"")</f>
        <v/>
      </c>
      <c r="AC142" s="43" t="str">
        <f aca="false">IF(AC136&lt;&gt;"",AC136,"")</f>
        <v/>
      </c>
      <c r="AD142" s="43" t="str">
        <f aca="false">IF(AD136&lt;&gt;"",AD136,"")</f>
        <v/>
      </c>
      <c r="AE142" s="43" t="str">
        <f aca="false">IF(AE136&lt;&gt;"",AE136,"")</f>
        <v/>
      </c>
      <c r="AF142" s="43" t="str">
        <f aca="false">IF(AF136&lt;&gt;"",AF136,"")</f>
        <v/>
      </c>
      <c r="AG142" s="43" t="str">
        <f aca="false">IF(AG136&lt;&gt;"",AG136,"")</f>
        <v/>
      </c>
      <c r="AH142" s="43" t="str">
        <f aca="false">IF(AH136&lt;&gt;"",AH136,"")</f>
        <v/>
      </c>
      <c r="AI142" s="43" t="str">
        <f aca="false">IF(AI136&lt;&gt;"",AI136,"")</f>
        <v/>
      </c>
      <c r="AJ142" s="43" t="str">
        <f aca="false">IF(AJ136&lt;&gt;"",AJ136,"")</f>
        <v/>
      </c>
      <c r="AK142" s="44" t="str">
        <f aca="false">IF(AK136&lt;&gt;"",AK136,"")</f>
        <v/>
      </c>
      <c r="AL142" s="3"/>
      <c r="AM142" s="4"/>
      <c r="AN142" s="4"/>
      <c r="AO142" s="4"/>
      <c r="AP142" s="4"/>
      <c r="AQ142" s="4"/>
      <c r="AR142" s="61"/>
    </row>
    <row r="143" s="58" customFormat="true" ht="13.8" hidden="false" customHeight="false" outlineLevel="0" collapsed="false">
      <c r="A143" s="104"/>
      <c r="B143" s="57"/>
      <c r="C143" s="58" t="s">
        <v>42</v>
      </c>
      <c r="D143" s="58" t="s">
        <v>281</v>
      </c>
      <c r="E143" s="43" t="str">
        <f aca="false">IF(E137&lt;&gt;"",IF(E137&gt;12800000,15,IF(E137&gt;6400000,14,IF(E137&gt;3200000,13,IF(E137&gt;1600000,12,IF(E137&gt;800000,11,IF(E137&gt;400000,10,IF(E137&gt;200000,9,IF(E137&gt;100000,8,IF(E137&gt;50000,7,IF(E137&gt;25000,6,IF(E137&gt;12500,5,IF(E137&gt;6250,4,IF(E137&gt;3120,3,IF(E137&gt;1560,2,IF(E137&gt;780,1,IF(E137=0,0)))))))))))))))),"")</f>
        <v/>
      </c>
      <c r="F143" s="43" t="str">
        <f aca="false">IF(F137&lt;&gt;"",IF(F137&gt;12800000,15,IF(F137&gt;6400000,14,IF(F137&gt;3200000,13,IF(F137&gt;1600000,12,IF(F137&gt;800000,11,IF(F137&gt;400000,10,IF(F137&gt;200000,9,IF(F137&gt;100000,8,IF(F137&gt;50000,7,IF(F137&gt;25000,6,IF(F137&gt;12500,5,IF(F137&gt;6250,4,IF(F137&gt;3120,3,IF(F137&gt;1560,2,IF(F137&gt;780,1,IF(F137=0,0)))))))))))))))),"")</f>
        <v/>
      </c>
      <c r="G143" s="43" t="str">
        <f aca="false">IF(G137&lt;&gt;"",IF(G137&gt;12800000,15,IF(G137&gt;6400000,14,IF(G137&gt;3200000,13,IF(G137&gt;1600000,12,IF(G137&gt;800000,11,IF(G137&gt;400000,10,IF(G137&gt;200000,9,IF(G137&gt;100000,8,IF(G137&gt;50000,7,IF(G137&gt;25000,6,IF(G137&gt;12500,5,IF(G137&gt;6250,4,IF(G137&gt;3120,3,IF(G137&gt;1560,2,IF(G137&gt;780,1,IF(G137=0,0)))))))))))))))),"")</f>
        <v/>
      </c>
      <c r="H143" s="43" t="str">
        <f aca="false">IF(H137&lt;&gt;"",IF(H137&gt;12800000,15,IF(H137&gt;6400000,14,IF(H137&gt;3200000,13,IF(H137&gt;1600000,12,IF(H137&gt;800000,11,IF(H137&gt;400000,10,IF(H137&gt;200000,9,IF(H137&gt;100000,8,IF(H137&gt;50000,7,IF(H137&gt;25000,6,IF(H137&gt;12500,5,IF(H137&gt;6250,4,IF(H137&gt;3120,3,IF(H137&gt;1560,2,IF(H137&gt;780,1,IF(H137=0,0)))))))))))))))),"")</f>
        <v/>
      </c>
      <c r="I143" s="43" t="str">
        <f aca="false">IF(I137&lt;&gt;"",IF(I137&gt;12800000,15,IF(I137&gt;6400000,14,IF(I137&gt;3200000,13,IF(I137&gt;1600000,12,IF(I137&gt;800000,11,IF(I137&gt;400000,10,IF(I137&gt;200000,9,IF(I137&gt;100000,8,IF(I137&gt;50000,7,IF(I137&gt;25000,6,IF(I137&gt;12500,5,IF(I137&gt;6250,4,IF(I137&gt;3120,3,IF(I137&gt;1560,2,IF(I137&gt;780,1,IF(I137=0,0)))))))))))))))),"")</f>
        <v/>
      </c>
      <c r="J143" s="43" t="str">
        <f aca="false">IF(J137&lt;&gt;"",IF(J137&gt;12800000,15,IF(J137&gt;6400000,14,IF(J137&gt;3200000,13,IF(J137&gt;1600000,12,IF(J137&gt;800000,11,IF(J137&gt;400000,10,IF(J137&gt;200000,9,IF(J137&gt;100000,8,IF(J137&gt;50000,7,IF(J137&gt;25000,6,IF(J137&gt;12500,5,IF(J137&gt;6250,4,IF(J137&gt;3120,3,IF(J137&gt;1560,2,IF(J137&gt;780,1,IF(J137=0,0)))))))))))))))),"")</f>
        <v/>
      </c>
      <c r="K143" s="43" t="str">
        <f aca="false">IF(K137&lt;&gt;"",IF(K137&gt;12800000,15,IF(K137&gt;6400000,14,IF(K137&gt;3200000,13,IF(K137&gt;1600000,12,IF(K137&gt;800000,11,IF(K137&gt;400000,10,IF(K137&gt;200000,9,IF(K137&gt;100000,8,IF(K137&gt;50000,7,IF(K137&gt;25000,6,IF(K137&gt;12500,5,IF(K137&gt;6250,4,IF(K137&gt;3120,3,IF(K137&gt;1560,2,IF(K137&gt;780,1,IF(K137=0,0)))))))))))))))),"")</f>
        <v/>
      </c>
      <c r="L143" s="43" t="str">
        <f aca="false">IF(L137&lt;&gt;"",IF(L137&gt;12800000,15,IF(L137&gt;6400000,14,IF(L137&gt;3200000,13,IF(L137&gt;1600000,12,IF(L137&gt;800000,11,IF(L137&gt;400000,10,IF(L137&gt;200000,9,IF(L137&gt;100000,8,IF(L137&gt;50000,7,IF(L137&gt;25000,6,IF(L137&gt;12500,5,IF(L137&gt;6250,4,IF(L137&gt;3120,3,IF(L137&gt;1560,2,IF(L137&gt;780,1,IF(L137=0,0)))))))))))))))),"")</f>
        <v/>
      </c>
      <c r="M143" s="43" t="str">
        <f aca="false">IF(M137&lt;&gt;"",IF(M137&gt;12800000,15,IF(M137&gt;6400000,14,IF(M137&gt;3200000,13,IF(M137&gt;1600000,12,IF(M137&gt;800000,11,IF(M137&gt;400000,10,IF(M137&gt;200000,9,IF(M137&gt;100000,8,IF(M137&gt;50000,7,IF(M137&gt;25000,6,IF(M137&gt;12500,5,IF(M137&gt;6250,4,IF(M137&gt;3120,3,IF(M137&gt;1560,2,IF(M137&gt;780,1,IF(M137=0,0)))))))))))))))),"")</f>
        <v/>
      </c>
      <c r="N143" s="43" t="str">
        <f aca="false">IF(N137&lt;&gt;"",IF(N137&gt;12800000,15,IF(N137&gt;6400000,14,IF(N137&gt;3200000,13,IF(N137&gt;1600000,12,IF(N137&gt;800000,11,IF(N137&gt;400000,10,IF(N137&gt;200000,9,IF(N137&gt;100000,8,IF(N137&gt;50000,7,IF(N137&gt;25000,6,IF(N137&gt;12500,5,IF(N137&gt;6250,4,IF(N137&gt;3120,3,IF(N137&gt;1560,2,IF(N137&gt;780,1,IF(N137=0,0)))))))))))))))),"")</f>
        <v/>
      </c>
      <c r="O143" s="43" t="str">
        <f aca="false">IF(O137&lt;&gt;"",IF(O137&gt;12800000,15,IF(O137&gt;6400000,14,IF(O137&gt;3200000,13,IF(O137&gt;1600000,12,IF(O137&gt;800000,11,IF(O137&gt;400000,10,IF(O137&gt;200000,9,IF(O137&gt;100000,8,IF(O137&gt;50000,7,IF(O137&gt;25000,6,IF(O137&gt;12500,5,IF(O137&gt;6250,4,IF(O137&gt;3120,3,IF(O137&gt;1560,2,IF(O137&gt;780,1,IF(O137=0,0)))))))))))))))),"")</f>
        <v/>
      </c>
      <c r="P143" s="43" t="str">
        <f aca="false">IF(P137&lt;&gt;"",IF(P137&gt;12800000,15,IF(P137&gt;6400000,14,IF(P137&gt;3200000,13,IF(P137&gt;1600000,12,IF(P137&gt;800000,11,IF(P137&gt;400000,10,IF(P137&gt;200000,9,IF(P137&gt;100000,8,IF(P137&gt;50000,7,IF(P137&gt;25000,6,IF(P137&gt;12500,5,IF(P137&gt;6250,4,IF(P137&gt;3120,3,IF(P137&gt;1560,2,IF(P137&gt;780,1,IF(P137=0,0)))))))))))))))),"")</f>
        <v/>
      </c>
      <c r="Q143" s="43" t="str">
        <f aca="false">IF(Q137&lt;&gt;"",IF(Q137&gt;12800000,15,IF(Q137&gt;6400000,14,IF(Q137&gt;3200000,13,IF(Q137&gt;1600000,12,IF(Q137&gt;800000,11,IF(Q137&gt;400000,10,IF(Q137&gt;200000,9,IF(Q137&gt;100000,8,IF(Q137&gt;50000,7,IF(Q137&gt;25000,6,IF(Q137&gt;12500,5,IF(Q137&gt;6250,4,IF(Q137&gt;3120,3,IF(Q137&gt;1560,2,IF(Q137&gt;780,1,IF(Q137=0,0)))))))))))))))),"")</f>
        <v/>
      </c>
      <c r="R143" s="43" t="str">
        <f aca="false">IF(R137&lt;&gt;"",IF(R137&gt;12800000,15,IF(R137&gt;6400000,14,IF(R137&gt;3200000,13,IF(R137&gt;1600000,12,IF(R137&gt;800000,11,IF(R137&gt;400000,10,IF(R137&gt;200000,9,IF(R137&gt;100000,8,IF(R137&gt;50000,7,IF(R137&gt;25000,6,IF(R137&gt;12500,5,IF(R137&gt;6250,4,IF(R137&gt;3120,3,IF(R137&gt;1560,2,IF(R137&gt;780,1,IF(R137=0,0)))))))))))))))),"")</f>
        <v/>
      </c>
      <c r="S143" s="43" t="str">
        <f aca="false">IF(S137&lt;&gt;"",IF(S137&gt;12800000,15,IF(S137&gt;6400000,14,IF(S137&gt;3200000,13,IF(S137&gt;1600000,12,IF(S137&gt;800000,11,IF(S137&gt;400000,10,IF(S137&gt;200000,9,IF(S137&gt;100000,8,IF(S137&gt;50000,7,IF(S137&gt;25000,6,IF(S137&gt;12500,5,IF(S137&gt;6250,4,IF(S137&gt;3120,3,IF(S137&gt;1560,2,IF(S137&gt;780,1,IF(S137=0,0)))))))))))))))),"")</f>
        <v/>
      </c>
      <c r="T143" s="43" t="str">
        <f aca="false">IF(T137&lt;&gt;"",IF(T137&gt;12800000,15,IF(T137&gt;6400000,14,IF(T137&gt;3200000,13,IF(T137&gt;1600000,12,IF(T137&gt;800000,11,IF(T137&gt;400000,10,IF(T137&gt;200000,9,IF(T137&gt;100000,8,IF(T137&gt;50000,7,IF(T137&gt;25000,6,IF(T137&gt;12500,5,IF(T137&gt;6250,4,IF(T137&gt;3120,3,IF(T137&gt;1560,2,IF(T137&gt;780,1,IF(T137=0,0)))))))))))))))),"")</f>
        <v/>
      </c>
      <c r="U143" s="43" t="str">
        <f aca="false">IF(U137&lt;&gt;"",IF(U137&gt;12800000,15,IF(U137&gt;6400000,14,IF(U137&gt;3200000,13,IF(U137&gt;1600000,12,IF(U137&gt;800000,11,IF(U137&gt;400000,10,IF(U137&gt;200000,9,IF(U137&gt;100000,8,IF(U137&gt;50000,7,IF(U137&gt;25000,6,IF(U137&gt;12500,5,IF(U137&gt;6250,4,IF(U137&gt;3120,3,IF(U137&gt;1560,2,IF(U137&gt;780,1,IF(U137=0,0)))))))))))))))),"")</f>
        <v/>
      </c>
      <c r="V143" s="43" t="str">
        <f aca="false">IF(V137&lt;&gt;"",IF(V137&gt;12800000,15,IF(V137&gt;6400000,14,IF(V137&gt;3200000,13,IF(V137&gt;1600000,12,IF(V137&gt;800000,11,IF(V137&gt;400000,10,IF(V137&gt;200000,9,IF(V137&gt;100000,8,IF(V137&gt;50000,7,IF(V137&gt;25000,6,IF(V137&gt;12500,5,IF(V137&gt;6250,4,IF(V137&gt;3120,3,IF(V137&gt;1560,2,IF(V137&gt;780,1,IF(V137=0,0)))))))))))))))),"")</f>
        <v/>
      </c>
      <c r="W143" s="43" t="str">
        <f aca="false">IF(W137&lt;&gt;"",IF(W137&gt;12800000,15,IF(W137&gt;6400000,14,IF(W137&gt;3200000,13,IF(W137&gt;1600000,12,IF(W137&gt;800000,11,IF(W137&gt;400000,10,IF(W137&gt;200000,9,IF(W137&gt;100000,8,IF(W137&gt;50000,7,IF(W137&gt;25000,6,IF(W137&gt;12500,5,IF(W137&gt;6250,4,IF(W137&gt;3120,3,IF(W137&gt;1560,2,IF(W137&gt;780,1,IF(W137=0,0)))))))))))))))),"")</f>
        <v/>
      </c>
      <c r="X143" s="43" t="str">
        <f aca="false">IF(X137&lt;&gt;"",IF(X137&gt;12800000,15,IF(X137&gt;6400000,14,IF(X137&gt;3200000,13,IF(X137&gt;1600000,12,IF(X137&gt;800000,11,IF(X137&gt;400000,10,IF(X137&gt;200000,9,IF(X137&gt;100000,8,IF(X137&gt;50000,7,IF(X137&gt;25000,6,IF(X137&gt;12500,5,IF(X137&gt;6250,4,IF(X137&gt;3120,3,IF(X137&gt;1560,2,IF(X137&gt;780,1,IF(X137=0,0)))))))))))))))),"")</f>
        <v/>
      </c>
      <c r="Y143" s="43" t="str">
        <f aca="false">IF(Y137&lt;&gt;"",IF(Y137&gt;12800000,15,IF(Y137&gt;6400000,14,IF(Y137&gt;3200000,13,IF(Y137&gt;1600000,12,IF(Y137&gt;800000,11,IF(Y137&gt;400000,10,IF(Y137&gt;200000,9,IF(Y137&gt;100000,8,IF(Y137&gt;50000,7,IF(Y137&gt;25000,6,IF(Y137&gt;12500,5,IF(Y137&gt;6250,4,IF(Y137&gt;3120,3,IF(Y137&gt;1560,2,IF(Y137&gt;780,1,IF(Y137=0,0)))))))))))))))),"")</f>
        <v/>
      </c>
      <c r="Z143" s="43" t="str">
        <f aca="false">IF(Z137&lt;&gt;"",IF(Z137&gt;12800000,15,IF(Z137&gt;6400000,14,IF(Z137&gt;3200000,13,IF(Z137&gt;1600000,12,IF(Z137&gt;800000,11,IF(Z137&gt;400000,10,IF(Z137&gt;200000,9,IF(Z137&gt;100000,8,IF(Z137&gt;50000,7,IF(Z137&gt;25000,6,IF(Z137&gt;12500,5,IF(Z137&gt;6250,4,IF(Z137&gt;3120,3,IF(Z137&gt;1560,2,IF(Z137&gt;780,1,IF(Z137=0,0)))))))))))))))),"")</f>
        <v/>
      </c>
      <c r="AA143" s="43" t="str">
        <f aca="false">IF(AA137&lt;&gt;"",IF(AA137&gt;12800000,15,IF(AA137&gt;6400000,14,IF(AA137&gt;3200000,13,IF(AA137&gt;1600000,12,IF(AA137&gt;800000,11,IF(AA137&gt;400000,10,IF(AA137&gt;200000,9,IF(AA137&gt;100000,8,IF(AA137&gt;50000,7,IF(AA137&gt;25000,6,IF(AA137&gt;12500,5,IF(AA137&gt;6250,4,IF(AA137&gt;3120,3,IF(AA137&gt;1560,2,IF(AA137&gt;780,1,IF(AA137=0,0)))))))))))))))),"")</f>
        <v/>
      </c>
      <c r="AB143" s="43" t="str">
        <f aca="false">IF(AB137&lt;&gt;"",IF(AB137&gt;12800000,15,IF(AB137&gt;6400000,14,IF(AB137&gt;3200000,13,IF(AB137&gt;1600000,12,IF(AB137&gt;800000,11,IF(AB137&gt;400000,10,IF(AB137&gt;200000,9,IF(AB137&gt;100000,8,IF(AB137&gt;50000,7,IF(AB137&gt;25000,6,IF(AB137&gt;12500,5,IF(AB137&gt;6250,4,IF(AB137&gt;3120,3,IF(AB137&gt;1560,2,IF(AB137&gt;780,1,IF(AB137=0,0)))))))))))))))),"")</f>
        <v/>
      </c>
      <c r="AC143" s="43" t="str">
        <f aca="false">IF(AC137&lt;&gt;"",IF(AC137&gt;12800000,15,IF(AC137&gt;6400000,14,IF(AC137&gt;3200000,13,IF(AC137&gt;1600000,12,IF(AC137&gt;800000,11,IF(AC137&gt;400000,10,IF(AC137&gt;200000,9,IF(AC137&gt;100000,8,IF(AC137&gt;50000,7,IF(AC137&gt;25000,6,IF(AC137&gt;12500,5,IF(AC137&gt;6250,4,IF(AC137&gt;3120,3,IF(AC137&gt;1560,2,IF(AC137&gt;780,1,IF(AC137=0,0)))))))))))))))),"")</f>
        <v/>
      </c>
      <c r="AD143" s="43" t="str">
        <f aca="false">IF(AD137&lt;&gt;"",IF(AD137&gt;12800000,15,IF(AD137&gt;6400000,14,IF(AD137&gt;3200000,13,IF(AD137&gt;1600000,12,IF(AD137&gt;800000,11,IF(AD137&gt;400000,10,IF(AD137&gt;200000,9,IF(AD137&gt;100000,8,IF(AD137&gt;50000,7,IF(AD137&gt;25000,6,IF(AD137&gt;12500,5,IF(AD137&gt;6250,4,IF(AD137&gt;3120,3,IF(AD137&gt;1560,2,IF(AD137&gt;780,1,IF(AD137=0,0)))))))))))))))),"")</f>
        <v/>
      </c>
      <c r="AE143" s="43" t="str">
        <f aca="false">IF(AE137&lt;&gt;"",IF(AE137&gt;12800000,15,IF(AE137&gt;6400000,14,IF(AE137&gt;3200000,13,IF(AE137&gt;1600000,12,IF(AE137&gt;800000,11,IF(AE137&gt;400000,10,IF(AE137&gt;200000,9,IF(AE137&gt;100000,8,IF(AE137&gt;50000,7,IF(AE137&gt;25000,6,IF(AE137&gt;12500,5,IF(AE137&gt;6250,4,IF(AE137&gt;3120,3,IF(AE137&gt;1560,2,IF(AE137&gt;780,1,IF(AE137=0,0)))))))))))))))),"")</f>
        <v/>
      </c>
      <c r="AF143" s="43" t="str">
        <f aca="false">IF(AF137&lt;&gt;"",IF(AF137&gt;12800000,15,IF(AF137&gt;6400000,14,IF(AF137&gt;3200000,13,IF(AF137&gt;1600000,12,IF(AF137&gt;800000,11,IF(AF137&gt;400000,10,IF(AF137&gt;200000,9,IF(AF137&gt;100000,8,IF(AF137&gt;50000,7,IF(AF137&gt;25000,6,IF(AF137&gt;12500,5,IF(AF137&gt;6250,4,IF(AF137&gt;3120,3,IF(AF137&gt;1560,2,IF(AF137&gt;780,1,IF(AF137=0,0)))))))))))))))),"")</f>
        <v/>
      </c>
      <c r="AG143" s="43" t="str">
        <f aca="false">IF(AG137&lt;&gt;"",IF(AG137&gt;12800000,15,IF(AG137&gt;6400000,14,IF(AG137&gt;3200000,13,IF(AG137&gt;1600000,12,IF(AG137&gt;800000,11,IF(AG137&gt;400000,10,IF(AG137&gt;200000,9,IF(AG137&gt;100000,8,IF(AG137&gt;50000,7,IF(AG137&gt;25000,6,IF(AG137&gt;12500,5,IF(AG137&gt;6250,4,IF(AG137&gt;3120,3,IF(AG137&gt;1560,2,IF(AG137&gt;780,1,IF(AG137=0,0)))))))))))))))),"")</f>
        <v/>
      </c>
      <c r="AH143" s="43" t="str">
        <f aca="false">IF(AH137&lt;&gt;"",IF(AH137&gt;12800000,15,IF(AH137&gt;6400000,14,IF(AH137&gt;3200000,13,IF(AH137&gt;1600000,12,IF(AH137&gt;800000,11,IF(AH137&gt;400000,10,IF(AH137&gt;200000,9,IF(AH137&gt;100000,8,IF(AH137&gt;50000,7,IF(AH137&gt;25000,6,IF(AH137&gt;12500,5,IF(AH137&gt;6250,4,IF(AH137&gt;3120,3,IF(AH137&gt;1560,2,IF(AH137&gt;780,1,IF(AH137=0,0)))))))))))))))),"")</f>
        <v/>
      </c>
      <c r="AI143" s="43" t="str">
        <f aca="false">IF(AI137&lt;&gt;"",IF(AI137&gt;12800000,15,IF(AI137&gt;6400000,14,IF(AI137&gt;3200000,13,IF(AI137&gt;1600000,12,IF(AI137&gt;800000,11,IF(AI137&gt;400000,10,IF(AI137&gt;200000,9,IF(AI137&gt;100000,8,IF(AI137&gt;50000,7,IF(AI137&gt;25000,6,IF(AI137&gt;12500,5,IF(AI137&gt;6250,4,IF(AI137&gt;3120,3,IF(AI137&gt;1560,2,IF(AI137&gt;780,1,IF(AI137=0,0)))))))))))))))),"")</f>
        <v/>
      </c>
      <c r="AJ143" s="43" t="str">
        <f aca="false">IF(AJ137&lt;&gt;"",IF(AJ137&gt;12800000,15,IF(AJ137&gt;6400000,14,IF(AJ137&gt;3200000,13,IF(AJ137&gt;1600000,12,IF(AJ137&gt;800000,11,IF(AJ137&gt;400000,10,IF(AJ137&gt;200000,9,IF(AJ137&gt;100000,8,IF(AJ137&gt;50000,7,IF(AJ137&gt;25000,6,IF(AJ137&gt;12500,5,IF(AJ137&gt;6250,4,IF(AJ137&gt;3120,3,IF(AJ137&gt;1560,2,IF(AJ137&gt;780,1,IF(AJ137=0,0)))))))))))))))),"")</f>
        <v/>
      </c>
      <c r="AK143" s="44" t="str">
        <f aca="false">IF(AK137&lt;&gt;"",IF(AK137&gt;12800000,15,IF(AK137&gt;6400000,14,IF(AK137&gt;3200000,13,IF(AK137&gt;1600000,12,IF(AK137&gt;800000,11,IF(AK137&gt;400000,10,IF(AK137&gt;200000,9,IF(AK137&gt;100000,8,IF(AK137&gt;50000,7,IF(AK137&gt;25000,6,IF(AK137&gt;12500,5,IF(AK137&gt;6250,4,IF(AK137&gt;3120,3,IF(AK137&gt;1560,2,IF(AK137&gt;780,1,IF(AK137=0,0)))))))))))))))),"")</f>
        <v/>
      </c>
      <c r="AL143" s="3"/>
      <c r="AM143" s="4"/>
      <c r="AN143" s="4"/>
      <c r="AO143" s="4"/>
      <c r="AP143" s="4"/>
      <c r="AQ143" s="4"/>
      <c r="AR143" s="61"/>
    </row>
    <row r="144" s="58" customFormat="true" ht="13.8" hidden="false" customHeight="false" outlineLevel="0" collapsed="false">
      <c r="A144" s="104"/>
      <c r="B144" s="57"/>
      <c r="C144" s="58" t="s">
        <v>44</v>
      </c>
      <c r="D144" s="58" t="s">
        <v>282</v>
      </c>
      <c r="E144" s="43" t="str">
        <f aca="false">IF(E138&lt;&gt;"",IF(E138&gt;4984000,15,IF(E138&gt;2492000,14,IF(E138&gt;1246000,13,IF(E138&gt;623000,12,IF(E138&gt;311000,11,IF(E138&gt;156000,10,IF(E138&gt;77900,9,IF(E138&gt;38900,8,IF(E138&gt;19500,7,IF(E138&gt;9730,6,IF(E138&gt;4860,5,IF(E138&gt;2430,4,IF(E138&gt;1220,3,IF(E138&gt;609,2,IF(E138&gt;304,1,IF(E138=0,0)))))))))))))))),"")</f>
        <v/>
      </c>
      <c r="F144" s="43" t="str">
        <f aca="false">IF(F138&lt;&gt;"",IF(F138&gt;4984000,15,IF(F138&gt;2492000,14,IF(F138&gt;1246000,13,IF(F138&gt;623000,12,IF(F138&gt;311000,11,IF(F138&gt;156000,10,IF(F138&gt;77900,9,IF(F138&gt;38900,8,IF(F138&gt;19500,7,IF(F138&gt;9730,6,IF(F138&gt;4860,5,IF(F138&gt;2430,4,IF(F138&gt;1220,3,IF(F138&gt;609,2,IF(F138&gt;304,1,IF(F138=0,0)))))))))))))))),"")</f>
        <v/>
      </c>
      <c r="G144" s="43" t="str">
        <f aca="false">IF(G138&lt;&gt;"",IF(G138&gt;4984000,15,IF(G138&gt;2492000,14,IF(G138&gt;1246000,13,IF(G138&gt;623000,12,IF(G138&gt;311000,11,IF(G138&gt;156000,10,IF(G138&gt;77900,9,IF(G138&gt;38900,8,IF(G138&gt;19500,7,IF(G138&gt;9730,6,IF(G138&gt;4860,5,IF(G138&gt;2430,4,IF(G138&gt;1220,3,IF(G138&gt;609,2,IF(G138&gt;304,1,IF(G138=0,0)))))))))))))))),"")</f>
        <v/>
      </c>
      <c r="H144" s="43" t="str">
        <f aca="false">IF(H138&lt;&gt;"",IF(H138&gt;4984000,15,IF(H138&gt;2492000,14,IF(H138&gt;1246000,13,IF(H138&gt;623000,12,IF(H138&gt;311000,11,IF(H138&gt;156000,10,IF(H138&gt;77900,9,IF(H138&gt;38900,8,IF(H138&gt;19500,7,IF(H138&gt;9730,6,IF(H138&gt;4860,5,IF(H138&gt;2430,4,IF(H138&gt;1220,3,IF(H138&gt;609,2,IF(H138&gt;304,1,IF(H138=0,0)))))))))))))))),"")</f>
        <v/>
      </c>
      <c r="I144" s="43" t="str">
        <f aca="false">IF(I138&lt;&gt;"",IF(I138&gt;4984000,15,IF(I138&gt;2492000,14,IF(I138&gt;1246000,13,IF(I138&gt;623000,12,IF(I138&gt;311000,11,IF(I138&gt;156000,10,IF(I138&gt;77900,9,IF(I138&gt;38900,8,IF(I138&gt;19500,7,IF(I138&gt;9730,6,IF(I138&gt;4860,5,IF(I138&gt;2430,4,IF(I138&gt;1220,3,IF(I138&gt;609,2,IF(I138&gt;304,1,IF(I138=0,0)))))))))))))))),"")</f>
        <v/>
      </c>
      <c r="J144" s="43" t="str">
        <f aca="false">IF(J138&lt;&gt;"",IF(J138&gt;4984000,15,IF(J138&gt;2492000,14,IF(J138&gt;1246000,13,IF(J138&gt;623000,12,IF(J138&gt;311000,11,IF(J138&gt;156000,10,IF(J138&gt;77900,9,IF(J138&gt;38900,8,IF(J138&gt;19500,7,IF(J138&gt;9730,6,IF(J138&gt;4860,5,IF(J138&gt;2430,4,IF(J138&gt;1220,3,IF(J138&gt;609,2,IF(J138&gt;304,1,IF(J138=0,0)))))))))))))))),"")</f>
        <v/>
      </c>
      <c r="K144" s="43" t="str">
        <f aca="false">IF(K138&lt;&gt;"",IF(K138&gt;4984000,15,IF(K138&gt;2492000,14,IF(K138&gt;1246000,13,IF(K138&gt;623000,12,IF(K138&gt;311000,11,IF(K138&gt;156000,10,IF(K138&gt;77900,9,IF(K138&gt;38900,8,IF(K138&gt;19500,7,IF(K138&gt;9730,6,IF(K138&gt;4860,5,IF(K138&gt;2430,4,IF(K138&gt;1220,3,IF(K138&gt;609,2,IF(K138&gt;304,1,IF(K138=0,0)))))))))))))))),"")</f>
        <v/>
      </c>
      <c r="L144" s="43" t="str">
        <f aca="false">IF(L138&lt;&gt;"",IF(L138&gt;4984000,15,IF(L138&gt;2492000,14,IF(L138&gt;1246000,13,IF(L138&gt;623000,12,IF(L138&gt;311000,11,IF(L138&gt;156000,10,IF(L138&gt;77900,9,IF(L138&gt;38900,8,IF(L138&gt;19500,7,IF(L138&gt;9730,6,IF(L138&gt;4860,5,IF(L138&gt;2430,4,IF(L138&gt;1220,3,IF(L138&gt;609,2,IF(L138&gt;304,1,IF(L138=0,0)))))))))))))))),"")</f>
        <v/>
      </c>
      <c r="M144" s="43" t="str">
        <f aca="false">IF(M138&lt;&gt;"",IF(M138&gt;4984000,15,IF(M138&gt;2492000,14,IF(M138&gt;1246000,13,IF(M138&gt;623000,12,IF(M138&gt;311000,11,IF(M138&gt;156000,10,IF(M138&gt;77900,9,IF(M138&gt;38900,8,IF(M138&gt;19500,7,IF(M138&gt;9730,6,IF(M138&gt;4860,5,IF(M138&gt;2430,4,IF(M138&gt;1220,3,IF(M138&gt;609,2,IF(M138&gt;304,1,IF(M138=0,0)))))))))))))))),"")</f>
        <v/>
      </c>
      <c r="N144" s="43" t="str">
        <f aca="false">IF(N138&lt;&gt;"",IF(N138&gt;4984000,15,IF(N138&gt;2492000,14,IF(N138&gt;1246000,13,IF(N138&gt;623000,12,IF(N138&gt;311000,11,IF(N138&gt;156000,10,IF(N138&gt;77900,9,IF(N138&gt;38900,8,IF(N138&gt;19500,7,IF(N138&gt;9730,6,IF(N138&gt;4860,5,IF(N138&gt;2430,4,IF(N138&gt;1220,3,IF(N138&gt;609,2,IF(N138&gt;304,1,IF(N138=0,0)))))))))))))))),"")</f>
        <v/>
      </c>
      <c r="O144" s="43" t="str">
        <f aca="false">IF(O138&lt;&gt;"",IF(O138&gt;4984000,15,IF(O138&gt;2492000,14,IF(O138&gt;1246000,13,IF(O138&gt;623000,12,IF(O138&gt;311000,11,IF(O138&gt;156000,10,IF(O138&gt;77900,9,IF(O138&gt;38900,8,IF(O138&gt;19500,7,IF(O138&gt;9730,6,IF(O138&gt;4860,5,IF(O138&gt;2430,4,IF(O138&gt;1220,3,IF(O138&gt;609,2,IF(O138&gt;304,1,IF(O138=0,0)))))))))))))))),"")</f>
        <v/>
      </c>
      <c r="P144" s="43" t="str">
        <f aca="false">IF(P138&lt;&gt;"",IF(P138&gt;4984000,15,IF(P138&gt;2492000,14,IF(P138&gt;1246000,13,IF(P138&gt;623000,12,IF(P138&gt;311000,11,IF(P138&gt;156000,10,IF(P138&gt;77900,9,IF(P138&gt;38900,8,IF(P138&gt;19500,7,IF(P138&gt;9730,6,IF(P138&gt;4860,5,IF(P138&gt;2430,4,IF(P138&gt;1220,3,IF(P138&gt;609,2,IF(P138&gt;304,1,IF(P138=0,0)))))))))))))))),"")</f>
        <v/>
      </c>
      <c r="Q144" s="43" t="str">
        <f aca="false">IF(Q138&lt;&gt;"",IF(Q138&gt;4984000,15,IF(Q138&gt;2492000,14,IF(Q138&gt;1246000,13,IF(Q138&gt;623000,12,IF(Q138&gt;311000,11,IF(Q138&gt;156000,10,IF(Q138&gt;77900,9,IF(Q138&gt;38900,8,IF(Q138&gt;19500,7,IF(Q138&gt;9730,6,IF(Q138&gt;4860,5,IF(Q138&gt;2430,4,IF(Q138&gt;1220,3,IF(Q138&gt;609,2,IF(Q138&gt;304,1,IF(Q138=0,0)))))))))))))))),"")</f>
        <v/>
      </c>
      <c r="R144" s="43" t="str">
        <f aca="false">IF(R138&lt;&gt;"",IF(R138&gt;4984000,15,IF(R138&gt;2492000,14,IF(R138&gt;1246000,13,IF(R138&gt;623000,12,IF(R138&gt;311000,11,IF(R138&gt;156000,10,IF(R138&gt;77900,9,IF(R138&gt;38900,8,IF(R138&gt;19500,7,IF(R138&gt;9730,6,IF(R138&gt;4860,5,IF(R138&gt;2430,4,IF(R138&gt;1220,3,IF(R138&gt;609,2,IF(R138&gt;304,1,IF(R138=0,0)))))))))))))))),"")</f>
        <v/>
      </c>
      <c r="S144" s="43" t="str">
        <f aca="false">IF(S138&lt;&gt;"",IF(S138&gt;4984000,15,IF(S138&gt;2492000,14,IF(S138&gt;1246000,13,IF(S138&gt;623000,12,IF(S138&gt;311000,11,IF(S138&gt;156000,10,IF(S138&gt;77900,9,IF(S138&gt;38900,8,IF(S138&gt;19500,7,IF(S138&gt;9730,6,IF(S138&gt;4860,5,IF(S138&gt;2430,4,IF(S138&gt;1220,3,IF(S138&gt;609,2,IF(S138&gt;304,1,IF(S138=0,0)))))))))))))))),"")</f>
        <v/>
      </c>
      <c r="T144" s="43" t="str">
        <f aca="false">IF(T138&lt;&gt;"",IF(T138&gt;4984000,15,IF(T138&gt;2492000,14,IF(T138&gt;1246000,13,IF(T138&gt;623000,12,IF(T138&gt;311000,11,IF(T138&gt;156000,10,IF(T138&gt;77900,9,IF(T138&gt;38900,8,IF(T138&gt;19500,7,IF(T138&gt;9730,6,IF(T138&gt;4860,5,IF(T138&gt;2430,4,IF(T138&gt;1220,3,IF(T138&gt;609,2,IF(T138&gt;304,1,IF(T138=0,0)))))))))))))))),"")</f>
        <v/>
      </c>
      <c r="U144" s="43" t="str">
        <f aca="false">IF(U138&lt;&gt;"",IF(U138&gt;4984000,15,IF(U138&gt;2492000,14,IF(U138&gt;1246000,13,IF(U138&gt;623000,12,IF(U138&gt;311000,11,IF(U138&gt;156000,10,IF(U138&gt;77900,9,IF(U138&gt;38900,8,IF(U138&gt;19500,7,IF(U138&gt;9730,6,IF(U138&gt;4860,5,IF(U138&gt;2430,4,IF(U138&gt;1220,3,IF(U138&gt;609,2,IF(U138&gt;304,1,IF(U138=0,0)))))))))))))))),"")</f>
        <v/>
      </c>
      <c r="V144" s="43" t="str">
        <f aca="false">IF(V138&lt;&gt;"",IF(V138&gt;4984000,15,IF(V138&gt;2492000,14,IF(V138&gt;1246000,13,IF(V138&gt;623000,12,IF(V138&gt;311000,11,IF(V138&gt;156000,10,IF(V138&gt;77900,9,IF(V138&gt;38900,8,IF(V138&gt;19500,7,IF(V138&gt;9730,6,IF(V138&gt;4860,5,IF(V138&gt;2430,4,IF(V138&gt;1220,3,IF(V138&gt;609,2,IF(V138&gt;304,1,IF(V138=0,0)))))))))))))))),"")</f>
        <v/>
      </c>
      <c r="W144" s="43" t="str">
        <f aca="false">IF(W138&lt;&gt;"",IF(W138&gt;4984000,15,IF(W138&gt;2492000,14,IF(W138&gt;1246000,13,IF(W138&gt;623000,12,IF(W138&gt;311000,11,IF(W138&gt;156000,10,IF(W138&gt;77900,9,IF(W138&gt;38900,8,IF(W138&gt;19500,7,IF(W138&gt;9730,6,IF(W138&gt;4860,5,IF(W138&gt;2430,4,IF(W138&gt;1220,3,IF(W138&gt;609,2,IF(W138&gt;304,1,IF(W138=0,0)))))))))))))))),"")</f>
        <v/>
      </c>
      <c r="X144" s="43" t="str">
        <f aca="false">IF(X138&lt;&gt;"",IF(X138&gt;4984000,15,IF(X138&gt;2492000,14,IF(X138&gt;1246000,13,IF(X138&gt;623000,12,IF(X138&gt;311000,11,IF(X138&gt;156000,10,IF(X138&gt;77900,9,IF(X138&gt;38900,8,IF(X138&gt;19500,7,IF(X138&gt;9730,6,IF(X138&gt;4860,5,IF(X138&gt;2430,4,IF(X138&gt;1220,3,IF(X138&gt;609,2,IF(X138&gt;304,1,IF(X138=0,0)))))))))))))))),"")</f>
        <v/>
      </c>
      <c r="Y144" s="43" t="str">
        <f aca="false">IF(Y138&lt;&gt;"",IF(Y138&gt;4984000,15,IF(Y138&gt;2492000,14,IF(Y138&gt;1246000,13,IF(Y138&gt;623000,12,IF(Y138&gt;311000,11,IF(Y138&gt;156000,10,IF(Y138&gt;77900,9,IF(Y138&gt;38900,8,IF(Y138&gt;19500,7,IF(Y138&gt;9730,6,IF(Y138&gt;4860,5,IF(Y138&gt;2430,4,IF(Y138&gt;1220,3,IF(Y138&gt;609,2,IF(Y138&gt;304,1,IF(Y138=0,0)))))))))))))))),"")</f>
        <v/>
      </c>
      <c r="Z144" s="43" t="str">
        <f aca="false">IF(Z138&lt;&gt;"",IF(Z138&gt;4984000,15,IF(Z138&gt;2492000,14,IF(Z138&gt;1246000,13,IF(Z138&gt;623000,12,IF(Z138&gt;311000,11,IF(Z138&gt;156000,10,IF(Z138&gt;77900,9,IF(Z138&gt;38900,8,IF(Z138&gt;19500,7,IF(Z138&gt;9730,6,IF(Z138&gt;4860,5,IF(Z138&gt;2430,4,IF(Z138&gt;1220,3,IF(Z138&gt;609,2,IF(Z138&gt;304,1,IF(Z138=0,0)))))))))))))))),"")</f>
        <v/>
      </c>
      <c r="AA144" s="43" t="str">
        <f aca="false">IF(AA138&lt;&gt;"",IF(AA138&gt;4984000,15,IF(AA138&gt;2492000,14,IF(AA138&gt;1246000,13,IF(AA138&gt;623000,12,IF(AA138&gt;311000,11,IF(AA138&gt;156000,10,IF(AA138&gt;77900,9,IF(AA138&gt;38900,8,IF(AA138&gt;19500,7,IF(AA138&gt;9730,6,IF(AA138&gt;4860,5,IF(AA138&gt;2430,4,IF(AA138&gt;1220,3,IF(AA138&gt;609,2,IF(AA138&gt;304,1,IF(AA138=0,0)))))))))))))))),"")</f>
        <v/>
      </c>
      <c r="AB144" s="43" t="str">
        <f aca="false">IF(AB138&lt;&gt;"",IF(AB138&gt;4984000,15,IF(AB138&gt;2492000,14,IF(AB138&gt;1246000,13,IF(AB138&gt;623000,12,IF(AB138&gt;311000,11,IF(AB138&gt;156000,10,IF(AB138&gt;77900,9,IF(AB138&gt;38900,8,IF(AB138&gt;19500,7,IF(AB138&gt;9730,6,IF(AB138&gt;4860,5,IF(AB138&gt;2430,4,IF(AB138&gt;1220,3,IF(AB138&gt;609,2,IF(AB138&gt;304,1,IF(AB138=0,0)))))))))))))))),"")</f>
        <v/>
      </c>
      <c r="AC144" s="43" t="str">
        <f aca="false">IF(AC138&lt;&gt;"",IF(AC138&gt;4984000,15,IF(AC138&gt;2492000,14,IF(AC138&gt;1246000,13,IF(AC138&gt;623000,12,IF(AC138&gt;311000,11,IF(AC138&gt;156000,10,IF(AC138&gt;77900,9,IF(AC138&gt;38900,8,IF(AC138&gt;19500,7,IF(AC138&gt;9730,6,IF(AC138&gt;4860,5,IF(AC138&gt;2430,4,IF(AC138&gt;1220,3,IF(AC138&gt;609,2,IF(AC138&gt;304,1,IF(AC138=0,0)))))))))))))))),"")</f>
        <v/>
      </c>
      <c r="AD144" s="43" t="str">
        <f aca="false">IF(AD138&lt;&gt;"",IF(AD138&gt;4984000,15,IF(AD138&gt;2492000,14,IF(AD138&gt;1246000,13,IF(AD138&gt;623000,12,IF(AD138&gt;311000,11,IF(AD138&gt;156000,10,IF(AD138&gt;77900,9,IF(AD138&gt;38900,8,IF(AD138&gt;19500,7,IF(AD138&gt;9730,6,IF(AD138&gt;4860,5,IF(AD138&gt;2430,4,IF(AD138&gt;1220,3,IF(AD138&gt;609,2,IF(AD138&gt;304,1,IF(AD138=0,0)))))))))))))))),"")</f>
        <v/>
      </c>
      <c r="AE144" s="43" t="str">
        <f aca="false">IF(AE138&lt;&gt;"",IF(AE138&gt;4984000,15,IF(AE138&gt;2492000,14,IF(AE138&gt;1246000,13,IF(AE138&gt;623000,12,IF(AE138&gt;311000,11,IF(AE138&gt;156000,10,IF(AE138&gt;77900,9,IF(AE138&gt;38900,8,IF(AE138&gt;19500,7,IF(AE138&gt;9730,6,IF(AE138&gt;4860,5,IF(AE138&gt;2430,4,IF(AE138&gt;1220,3,IF(AE138&gt;609,2,IF(AE138&gt;304,1,IF(AE138=0,0)))))))))))))))),"")</f>
        <v/>
      </c>
      <c r="AF144" s="43" t="str">
        <f aca="false">IF(AF138&lt;&gt;"",IF(AF138&gt;4984000,15,IF(AF138&gt;2492000,14,IF(AF138&gt;1246000,13,IF(AF138&gt;623000,12,IF(AF138&gt;311000,11,IF(AF138&gt;156000,10,IF(AF138&gt;77900,9,IF(AF138&gt;38900,8,IF(AF138&gt;19500,7,IF(AF138&gt;9730,6,IF(AF138&gt;4860,5,IF(AF138&gt;2430,4,IF(AF138&gt;1220,3,IF(AF138&gt;609,2,IF(AF138&gt;304,1,IF(AF138=0,0)))))))))))))))),"")</f>
        <v/>
      </c>
      <c r="AG144" s="43" t="str">
        <f aca="false">IF(AG138&lt;&gt;"",IF(AG138&gt;4984000,15,IF(AG138&gt;2492000,14,IF(AG138&gt;1246000,13,IF(AG138&gt;623000,12,IF(AG138&gt;311000,11,IF(AG138&gt;156000,10,IF(AG138&gt;77900,9,IF(AG138&gt;38900,8,IF(AG138&gt;19500,7,IF(AG138&gt;9730,6,IF(AG138&gt;4860,5,IF(AG138&gt;2430,4,IF(AG138&gt;1220,3,IF(AG138&gt;609,2,IF(AG138&gt;304,1,IF(AG138=0,0)))))))))))))))),"")</f>
        <v/>
      </c>
      <c r="AH144" s="43" t="str">
        <f aca="false">IF(AH138&lt;&gt;"",IF(AH138&gt;4984000,15,IF(AH138&gt;2492000,14,IF(AH138&gt;1246000,13,IF(AH138&gt;623000,12,IF(AH138&gt;311000,11,IF(AH138&gt;156000,10,IF(AH138&gt;77900,9,IF(AH138&gt;38900,8,IF(AH138&gt;19500,7,IF(AH138&gt;9730,6,IF(AH138&gt;4860,5,IF(AH138&gt;2430,4,IF(AH138&gt;1220,3,IF(AH138&gt;609,2,IF(AH138&gt;304,1,IF(AH138=0,0)))))))))))))))),"")</f>
        <v/>
      </c>
      <c r="AI144" s="43" t="str">
        <f aca="false">IF(AI138&lt;&gt;"",IF(AI138&gt;4984000,15,IF(AI138&gt;2492000,14,IF(AI138&gt;1246000,13,IF(AI138&gt;623000,12,IF(AI138&gt;311000,11,IF(AI138&gt;156000,10,IF(AI138&gt;77900,9,IF(AI138&gt;38900,8,IF(AI138&gt;19500,7,IF(AI138&gt;9730,6,IF(AI138&gt;4860,5,IF(AI138&gt;2430,4,IF(AI138&gt;1220,3,IF(AI138&gt;609,2,IF(AI138&gt;304,1,IF(AI138=0,0)))))))))))))))),"")</f>
        <v/>
      </c>
      <c r="AJ144" s="43" t="str">
        <f aca="false">IF(AJ138&lt;&gt;"",IF(AJ138&gt;4984000,15,IF(AJ138&gt;2492000,14,IF(AJ138&gt;1246000,13,IF(AJ138&gt;623000,12,IF(AJ138&gt;311000,11,IF(AJ138&gt;156000,10,IF(AJ138&gt;77900,9,IF(AJ138&gt;38900,8,IF(AJ138&gt;19500,7,IF(AJ138&gt;9730,6,IF(AJ138&gt;4860,5,IF(AJ138&gt;2430,4,IF(AJ138&gt;1220,3,IF(AJ138&gt;609,2,IF(AJ138&gt;304,1,IF(AJ138=0,0)))))))))))))))),"")</f>
        <v/>
      </c>
      <c r="AK144" s="44" t="str">
        <f aca="false">IF(AK138&lt;&gt;"",IF(AK138&gt;4984000,15,IF(AK138&gt;2492000,14,IF(AK138&gt;1246000,13,IF(AK138&gt;623000,12,IF(AK138&gt;311000,11,IF(AK138&gt;156000,10,IF(AK138&gt;77900,9,IF(AK138&gt;38900,8,IF(AK138&gt;19500,7,IF(AK138&gt;9730,6,IF(AK138&gt;4860,5,IF(AK138&gt;2430,4,IF(AK138&gt;1220,3,IF(AK138&gt;609,2,IF(AK138&gt;304,1,IF(AK138=0,0)))))))))))))))),"")</f>
        <v/>
      </c>
      <c r="AL144" s="3"/>
      <c r="AM144" s="4"/>
      <c r="AN144" s="4"/>
      <c r="AO144" s="4"/>
      <c r="AP144" s="4"/>
      <c r="AQ144" s="4"/>
      <c r="AR144" s="61"/>
    </row>
    <row r="145" s="58" customFormat="true" ht="13.8" hidden="false" customHeight="false" outlineLevel="0" collapsed="false">
      <c r="A145" s="104"/>
      <c r="B145" s="57"/>
      <c r="C145" s="58" t="s">
        <v>46</v>
      </c>
      <c r="D145" s="58" t="s">
        <v>283</v>
      </c>
      <c r="E145" s="43" t="str">
        <f aca="false">IF(E139&lt;&gt;"",IF(E139&gt;888000,15,IF(E139&gt;444000,14,IF(E139&gt;222000,13,IF(E139&gt;111000,12,IF(E139&gt;55400,11,IF(E139&gt;27700,10,IF(E139&gt;13900,9,IF(E139&gt;6920,8,IF(E139&gt;3460,7,IF(E139&gt;1730,6,IF(E139&gt;864,5,IF(E139&gt;432,4,IF(E139&gt;217,3,IF(E139&gt;109,2,IF(E139&gt;54,1,IF(E139=0,0)))))))))))))))),"")</f>
        <v/>
      </c>
      <c r="F145" s="43" t="str">
        <f aca="false">IF(F139&lt;&gt;"",IF(F139&gt;888000,15,IF(F139&gt;444000,14,IF(F139&gt;222000,13,IF(F139&gt;111000,12,IF(F139&gt;55400,11,IF(F139&gt;27700,10,IF(F139&gt;13900,9,IF(F139&gt;6920,8,IF(F139&gt;3460,7,IF(F139&gt;1730,6,IF(F139&gt;864,5,IF(F139&gt;432,4,IF(F139&gt;217,3,IF(F139&gt;109,2,IF(F139&gt;54,1,IF(F139=0,0)))))))))))))))),"")</f>
        <v/>
      </c>
      <c r="G145" s="43" t="str">
        <f aca="false">IF(G139&lt;&gt;"",IF(G139&gt;888000,15,IF(G139&gt;444000,14,IF(G139&gt;222000,13,IF(G139&gt;111000,12,IF(G139&gt;55400,11,IF(G139&gt;27700,10,IF(G139&gt;13900,9,IF(G139&gt;6920,8,IF(G139&gt;3460,7,IF(G139&gt;1730,6,IF(G139&gt;864,5,IF(G139&gt;432,4,IF(G139&gt;217,3,IF(G139&gt;109,2,IF(G139&gt;54,1,IF(G139=0,0)))))))))))))))),"")</f>
        <v/>
      </c>
      <c r="H145" s="43" t="str">
        <f aca="false">IF(H139&lt;&gt;"",IF(H139&gt;888000,15,IF(H139&gt;444000,14,IF(H139&gt;222000,13,IF(H139&gt;111000,12,IF(H139&gt;55400,11,IF(H139&gt;27700,10,IF(H139&gt;13900,9,IF(H139&gt;6920,8,IF(H139&gt;3460,7,IF(H139&gt;1730,6,IF(H139&gt;864,5,IF(H139&gt;432,4,IF(H139&gt;217,3,IF(H139&gt;109,2,IF(H139&gt;54,1,IF(H139=0,0)))))))))))))))),"")</f>
        <v/>
      </c>
      <c r="I145" s="43" t="str">
        <f aca="false">IF(I139&lt;&gt;"",IF(I139&gt;888000,15,IF(I139&gt;444000,14,IF(I139&gt;222000,13,IF(I139&gt;111000,12,IF(I139&gt;55400,11,IF(I139&gt;27700,10,IF(I139&gt;13900,9,IF(I139&gt;6920,8,IF(I139&gt;3460,7,IF(I139&gt;1730,6,IF(I139&gt;864,5,IF(I139&gt;432,4,IF(I139&gt;217,3,IF(I139&gt;109,2,IF(I139&gt;54,1,IF(I139=0,0)))))))))))))))),"")</f>
        <v/>
      </c>
      <c r="J145" s="43" t="str">
        <f aca="false">IF(J139&lt;&gt;"",IF(J139&gt;888000,15,IF(J139&gt;444000,14,IF(J139&gt;222000,13,IF(J139&gt;111000,12,IF(J139&gt;55400,11,IF(J139&gt;27700,10,IF(J139&gt;13900,9,IF(J139&gt;6920,8,IF(J139&gt;3460,7,IF(J139&gt;1730,6,IF(J139&gt;864,5,IF(J139&gt;432,4,IF(J139&gt;217,3,IF(J139&gt;109,2,IF(J139&gt;54,1,IF(J139=0,0)))))))))))))))),"")</f>
        <v/>
      </c>
      <c r="K145" s="43" t="str">
        <f aca="false">IF(K139&lt;&gt;"",IF(K139&gt;888000,15,IF(K139&gt;444000,14,IF(K139&gt;222000,13,IF(K139&gt;111000,12,IF(K139&gt;55400,11,IF(K139&gt;27700,10,IF(K139&gt;13900,9,IF(K139&gt;6920,8,IF(K139&gt;3460,7,IF(K139&gt;1730,6,IF(K139&gt;864,5,IF(K139&gt;432,4,IF(K139&gt;217,3,IF(K139&gt;109,2,IF(K139&gt;54,1,IF(K139=0,0)))))))))))))))),"")</f>
        <v/>
      </c>
      <c r="L145" s="43" t="str">
        <f aca="false">IF(L139&lt;&gt;"",IF(L139&gt;888000,15,IF(L139&gt;444000,14,IF(L139&gt;222000,13,IF(L139&gt;111000,12,IF(L139&gt;55400,11,IF(L139&gt;27700,10,IF(L139&gt;13900,9,IF(L139&gt;6920,8,IF(L139&gt;3460,7,IF(L139&gt;1730,6,IF(L139&gt;864,5,IF(L139&gt;432,4,IF(L139&gt;217,3,IF(L139&gt;109,2,IF(L139&gt;54,1,IF(L139=0,0)))))))))))))))),"")</f>
        <v/>
      </c>
      <c r="M145" s="43" t="str">
        <f aca="false">IF(M139&lt;&gt;"",IF(M139&gt;888000,15,IF(M139&gt;444000,14,IF(M139&gt;222000,13,IF(M139&gt;111000,12,IF(M139&gt;55400,11,IF(M139&gt;27700,10,IF(M139&gt;13900,9,IF(M139&gt;6920,8,IF(M139&gt;3460,7,IF(M139&gt;1730,6,IF(M139&gt;864,5,IF(M139&gt;432,4,IF(M139&gt;217,3,IF(M139&gt;109,2,IF(M139&gt;54,1,IF(M139=0,0)))))))))))))))),"")</f>
        <v/>
      </c>
      <c r="N145" s="43" t="str">
        <f aca="false">IF(N139&lt;&gt;"",IF(N139&gt;888000,15,IF(N139&gt;444000,14,IF(N139&gt;222000,13,IF(N139&gt;111000,12,IF(N139&gt;55400,11,IF(N139&gt;27700,10,IF(N139&gt;13900,9,IF(N139&gt;6920,8,IF(N139&gt;3460,7,IF(N139&gt;1730,6,IF(N139&gt;864,5,IF(N139&gt;432,4,IF(N139&gt;217,3,IF(N139&gt;109,2,IF(N139&gt;54,1,IF(N139=0,0)))))))))))))))),"")</f>
        <v/>
      </c>
      <c r="O145" s="43" t="str">
        <f aca="false">IF(O139&lt;&gt;"",IF(O139&gt;888000,15,IF(O139&gt;444000,14,IF(O139&gt;222000,13,IF(O139&gt;111000,12,IF(O139&gt;55400,11,IF(O139&gt;27700,10,IF(O139&gt;13900,9,IF(O139&gt;6920,8,IF(O139&gt;3460,7,IF(O139&gt;1730,6,IF(O139&gt;864,5,IF(O139&gt;432,4,IF(O139&gt;217,3,IF(O139&gt;109,2,IF(O139&gt;54,1,IF(O139=0,0)))))))))))))))),"")</f>
        <v/>
      </c>
      <c r="P145" s="43" t="str">
        <f aca="false">IF(P139&lt;&gt;"",IF(P139&gt;888000,15,IF(P139&gt;444000,14,IF(P139&gt;222000,13,IF(P139&gt;111000,12,IF(P139&gt;55400,11,IF(P139&gt;27700,10,IF(P139&gt;13900,9,IF(P139&gt;6920,8,IF(P139&gt;3460,7,IF(P139&gt;1730,6,IF(P139&gt;864,5,IF(P139&gt;432,4,IF(P139&gt;217,3,IF(P139&gt;109,2,IF(P139&gt;54,1,IF(P139=0,0)))))))))))))))),"")</f>
        <v/>
      </c>
      <c r="Q145" s="43" t="str">
        <f aca="false">IF(Q139&lt;&gt;"",IF(Q139&gt;888000,15,IF(Q139&gt;444000,14,IF(Q139&gt;222000,13,IF(Q139&gt;111000,12,IF(Q139&gt;55400,11,IF(Q139&gt;27700,10,IF(Q139&gt;13900,9,IF(Q139&gt;6920,8,IF(Q139&gt;3460,7,IF(Q139&gt;1730,6,IF(Q139&gt;864,5,IF(Q139&gt;432,4,IF(Q139&gt;217,3,IF(Q139&gt;109,2,IF(Q139&gt;54,1,IF(Q139=0,0)))))))))))))))),"")</f>
        <v/>
      </c>
      <c r="R145" s="43" t="str">
        <f aca="false">IF(R139&lt;&gt;"",IF(R139&gt;888000,15,IF(R139&gt;444000,14,IF(R139&gt;222000,13,IF(R139&gt;111000,12,IF(R139&gt;55400,11,IF(R139&gt;27700,10,IF(R139&gt;13900,9,IF(R139&gt;6920,8,IF(R139&gt;3460,7,IF(R139&gt;1730,6,IF(R139&gt;864,5,IF(R139&gt;432,4,IF(R139&gt;217,3,IF(R139&gt;109,2,IF(R139&gt;54,1,IF(R139=0,0)))))))))))))))),"")</f>
        <v/>
      </c>
      <c r="S145" s="43" t="str">
        <f aca="false">IF(S139&lt;&gt;"",IF(S139&gt;888000,15,IF(S139&gt;444000,14,IF(S139&gt;222000,13,IF(S139&gt;111000,12,IF(S139&gt;55400,11,IF(S139&gt;27700,10,IF(S139&gt;13900,9,IF(S139&gt;6920,8,IF(S139&gt;3460,7,IF(S139&gt;1730,6,IF(S139&gt;864,5,IF(S139&gt;432,4,IF(S139&gt;217,3,IF(S139&gt;109,2,IF(S139&gt;54,1,IF(S139=0,0)))))))))))))))),"")</f>
        <v/>
      </c>
      <c r="T145" s="43" t="str">
        <f aca="false">IF(T139&lt;&gt;"",IF(T139&gt;888000,15,IF(T139&gt;444000,14,IF(T139&gt;222000,13,IF(T139&gt;111000,12,IF(T139&gt;55400,11,IF(T139&gt;27700,10,IF(T139&gt;13900,9,IF(T139&gt;6920,8,IF(T139&gt;3460,7,IF(T139&gt;1730,6,IF(T139&gt;864,5,IF(T139&gt;432,4,IF(T139&gt;217,3,IF(T139&gt;109,2,IF(T139&gt;54,1,IF(T139=0,0)))))))))))))))),"")</f>
        <v/>
      </c>
      <c r="U145" s="43" t="str">
        <f aca="false">IF(U139&lt;&gt;"",IF(U139&gt;888000,15,IF(U139&gt;444000,14,IF(U139&gt;222000,13,IF(U139&gt;111000,12,IF(U139&gt;55400,11,IF(U139&gt;27700,10,IF(U139&gt;13900,9,IF(U139&gt;6920,8,IF(U139&gt;3460,7,IF(U139&gt;1730,6,IF(U139&gt;864,5,IF(U139&gt;432,4,IF(U139&gt;217,3,IF(U139&gt;109,2,IF(U139&gt;54,1,IF(U139=0,0)))))))))))))))),"")</f>
        <v/>
      </c>
      <c r="V145" s="43" t="str">
        <f aca="false">IF(V139&lt;&gt;"",IF(V139&gt;888000,15,IF(V139&gt;444000,14,IF(V139&gt;222000,13,IF(V139&gt;111000,12,IF(V139&gt;55400,11,IF(V139&gt;27700,10,IF(V139&gt;13900,9,IF(V139&gt;6920,8,IF(V139&gt;3460,7,IF(V139&gt;1730,6,IF(V139&gt;864,5,IF(V139&gt;432,4,IF(V139&gt;217,3,IF(V139&gt;109,2,IF(V139&gt;54,1,IF(V139=0,0)))))))))))))))),"")</f>
        <v/>
      </c>
      <c r="W145" s="43" t="str">
        <f aca="false">IF(W139&lt;&gt;"",IF(W139&gt;888000,15,IF(W139&gt;444000,14,IF(W139&gt;222000,13,IF(W139&gt;111000,12,IF(W139&gt;55400,11,IF(W139&gt;27700,10,IF(W139&gt;13900,9,IF(W139&gt;6920,8,IF(W139&gt;3460,7,IF(W139&gt;1730,6,IF(W139&gt;864,5,IF(W139&gt;432,4,IF(W139&gt;217,3,IF(W139&gt;109,2,IF(W139&gt;54,1,IF(W139=0,0)))))))))))))))),"")</f>
        <v/>
      </c>
      <c r="X145" s="43" t="str">
        <f aca="false">IF(X139&lt;&gt;"",IF(X139&gt;888000,15,IF(X139&gt;444000,14,IF(X139&gt;222000,13,IF(X139&gt;111000,12,IF(X139&gt;55400,11,IF(X139&gt;27700,10,IF(X139&gt;13900,9,IF(X139&gt;6920,8,IF(X139&gt;3460,7,IF(X139&gt;1730,6,IF(X139&gt;864,5,IF(X139&gt;432,4,IF(X139&gt;217,3,IF(X139&gt;109,2,IF(X139&gt;54,1,IF(X139=0,0)))))))))))))))),"")</f>
        <v/>
      </c>
      <c r="Y145" s="43" t="str">
        <f aca="false">IF(Y139&lt;&gt;"",IF(Y139&gt;888000,15,IF(Y139&gt;444000,14,IF(Y139&gt;222000,13,IF(Y139&gt;111000,12,IF(Y139&gt;55400,11,IF(Y139&gt;27700,10,IF(Y139&gt;13900,9,IF(Y139&gt;6920,8,IF(Y139&gt;3460,7,IF(Y139&gt;1730,6,IF(Y139&gt;864,5,IF(Y139&gt;432,4,IF(Y139&gt;217,3,IF(Y139&gt;109,2,IF(Y139&gt;54,1,IF(Y139=0,0)))))))))))))))),"")</f>
        <v/>
      </c>
      <c r="Z145" s="43" t="str">
        <f aca="false">IF(Z139&lt;&gt;"",IF(Z139&gt;888000,15,IF(Z139&gt;444000,14,IF(Z139&gt;222000,13,IF(Z139&gt;111000,12,IF(Z139&gt;55400,11,IF(Z139&gt;27700,10,IF(Z139&gt;13900,9,IF(Z139&gt;6920,8,IF(Z139&gt;3460,7,IF(Z139&gt;1730,6,IF(Z139&gt;864,5,IF(Z139&gt;432,4,IF(Z139&gt;217,3,IF(Z139&gt;109,2,IF(Z139&gt;54,1,IF(Z139=0,0)))))))))))))))),"")</f>
        <v/>
      </c>
      <c r="AA145" s="43" t="str">
        <f aca="false">IF(AA139&lt;&gt;"",IF(AA139&gt;888000,15,IF(AA139&gt;444000,14,IF(AA139&gt;222000,13,IF(AA139&gt;111000,12,IF(AA139&gt;55400,11,IF(AA139&gt;27700,10,IF(AA139&gt;13900,9,IF(AA139&gt;6920,8,IF(AA139&gt;3460,7,IF(AA139&gt;1730,6,IF(AA139&gt;864,5,IF(AA139&gt;432,4,IF(AA139&gt;217,3,IF(AA139&gt;109,2,IF(AA139&gt;54,1,IF(AA139=0,0)))))))))))))))),"")</f>
        <v/>
      </c>
      <c r="AB145" s="43" t="str">
        <f aca="false">IF(AB139&lt;&gt;"",IF(AB139&gt;888000,15,IF(AB139&gt;444000,14,IF(AB139&gt;222000,13,IF(AB139&gt;111000,12,IF(AB139&gt;55400,11,IF(AB139&gt;27700,10,IF(AB139&gt;13900,9,IF(AB139&gt;6920,8,IF(AB139&gt;3460,7,IF(AB139&gt;1730,6,IF(AB139&gt;864,5,IF(AB139&gt;432,4,IF(AB139&gt;217,3,IF(AB139&gt;109,2,IF(AB139&gt;54,1,IF(AB139=0,0)))))))))))))))),"")</f>
        <v/>
      </c>
      <c r="AC145" s="43" t="str">
        <f aca="false">IF(AC139&lt;&gt;"",IF(AC139&gt;888000,15,IF(AC139&gt;444000,14,IF(AC139&gt;222000,13,IF(AC139&gt;111000,12,IF(AC139&gt;55400,11,IF(AC139&gt;27700,10,IF(AC139&gt;13900,9,IF(AC139&gt;6920,8,IF(AC139&gt;3460,7,IF(AC139&gt;1730,6,IF(AC139&gt;864,5,IF(AC139&gt;432,4,IF(AC139&gt;217,3,IF(AC139&gt;109,2,IF(AC139&gt;54,1,IF(AC139=0,0)))))))))))))))),"")</f>
        <v/>
      </c>
      <c r="AD145" s="43" t="str">
        <f aca="false">IF(AD139&lt;&gt;"",IF(AD139&gt;888000,15,IF(AD139&gt;444000,14,IF(AD139&gt;222000,13,IF(AD139&gt;111000,12,IF(AD139&gt;55400,11,IF(AD139&gt;27700,10,IF(AD139&gt;13900,9,IF(AD139&gt;6920,8,IF(AD139&gt;3460,7,IF(AD139&gt;1730,6,IF(AD139&gt;864,5,IF(AD139&gt;432,4,IF(AD139&gt;217,3,IF(AD139&gt;109,2,IF(AD139&gt;54,1,IF(AD139=0,0)))))))))))))))),"")</f>
        <v/>
      </c>
      <c r="AE145" s="43" t="str">
        <f aca="false">IF(AE139&lt;&gt;"",IF(AE139&gt;888000,15,IF(AE139&gt;444000,14,IF(AE139&gt;222000,13,IF(AE139&gt;111000,12,IF(AE139&gt;55400,11,IF(AE139&gt;27700,10,IF(AE139&gt;13900,9,IF(AE139&gt;6920,8,IF(AE139&gt;3460,7,IF(AE139&gt;1730,6,IF(AE139&gt;864,5,IF(AE139&gt;432,4,IF(AE139&gt;217,3,IF(AE139&gt;109,2,IF(AE139&gt;54,1,IF(AE139=0,0)))))))))))))))),"")</f>
        <v/>
      </c>
      <c r="AF145" s="43" t="str">
        <f aca="false">IF(AF139&lt;&gt;"",IF(AF139&gt;888000,15,IF(AF139&gt;444000,14,IF(AF139&gt;222000,13,IF(AF139&gt;111000,12,IF(AF139&gt;55400,11,IF(AF139&gt;27700,10,IF(AF139&gt;13900,9,IF(AF139&gt;6920,8,IF(AF139&gt;3460,7,IF(AF139&gt;1730,6,IF(AF139&gt;864,5,IF(AF139&gt;432,4,IF(AF139&gt;217,3,IF(AF139&gt;109,2,IF(AF139&gt;54,1,IF(AF139=0,0)))))))))))))))),"")</f>
        <v/>
      </c>
      <c r="AG145" s="43" t="str">
        <f aca="false">IF(AG139&lt;&gt;"",IF(AG139&gt;888000,15,IF(AG139&gt;444000,14,IF(AG139&gt;222000,13,IF(AG139&gt;111000,12,IF(AG139&gt;55400,11,IF(AG139&gt;27700,10,IF(AG139&gt;13900,9,IF(AG139&gt;6920,8,IF(AG139&gt;3460,7,IF(AG139&gt;1730,6,IF(AG139&gt;864,5,IF(AG139&gt;432,4,IF(AG139&gt;217,3,IF(AG139&gt;109,2,IF(AG139&gt;54,1,IF(AG139=0,0)))))))))))))))),"")</f>
        <v/>
      </c>
      <c r="AH145" s="43" t="str">
        <f aca="false">IF(AH139&lt;&gt;"",IF(AH139&gt;888000,15,IF(AH139&gt;444000,14,IF(AH139&gt;222000,13,IF(AH139&gt;111000,12,IF(AH139&gt;55400,11,IF(AH139&gt;27700,10,IF(AH139&gt;13900,9,IF(AH139&gt;6920,8,IF(AH139&gt;3460,7,IF(AH139&gt;1730,6,IF(AH139&gt;864,5,IF(AH139&gt;432,4,IF(AH139&gt;217,3,IF(AH139&gt;109,2,IF(AH139&gt;54,1,IF(AH139=0,0)))))))))))))))),"")</f>
        <v/>
      </c>
      <c r="AI145" s="43" t="str">
        <f aca="false">IF(AI139&lt;&gt;"",IF(AI139&gt;888000,15,IF(AI139&gt;444000,14,IF(AI139&gt;222000,13,IF(AI139&gt;111000,12,IF(AI139&gt;55400,11,IF(AI139&gt;27700,10,IF(AI139&gt;13900,9,IF(AI139&gt;6920,8,IF(AI139&gt;3460,7,IF(AI139&gt;1730,6,IF(AI139&gt;864,5,IF(AI139&gt;432,4,IF(AI139&gt;217,3,IF(AI139&gt;109,2,IF(AI139&gt;54,1,IF(AI139=0,0)))))))))))))))),"")</f>
        <v/>
      </c>
      <c r="AJ145" s="43" t="str">
        <f aca="false">IF(AJ139&lt;&gt;"",IF(AJ139&gt;888000,15,IF(AJ139&gt;444000,14,IF(AJ139&gt;222000,13,IF(AJ139&gt;111000,12,IF(AJ139&gt;55400,11,IF(AJ139&gt;27700,10,IF(AJ139&gt;13900,9,IF(AJ139&gt;6920,8,IF(AJ139&gt;3460,7,IF(AJ139&gt;1730,6,IF(AJ139&gt;864,5,IF(AJ139&gt;432,4,IF(AJ139&gt;217,3,IF(AJ139&gt;109,2,IF(AJ139&gt;54,1,IF(AJ139=0,0)))))))))))))))),"")</f>
        <v/>
      </c>
      <c r="AK145" s="44" t="str">
        <f aca="false">IF(AK139&lt;&gt;"",IF(AK139&gt;888000,15,IF(AK139&gt;444000,14,IF(AK139&gt;222000,13,IF(AK139&gt;111000,12,IF(AK139&gt;55400,11,IF(AK139&gt;27700,10,IF(AK139&gt;13900,9,IF(AK139&gt;6920,8,IF(AK139&gt;3460,7,IF(AK139&gt;1730,6,IF(AK139&gt;864,5,IF(AK139&gt;432,4,IF(AK139&gt;217,3,IF(AK139&gt;109,2,IF(AK139&gt;54,1,IF(AK139=0,0)))))))))))))))),"")</f>
        <v/>
      </c>
      <c r="AL145" s="3"/>
      <c r="AM145" s="4"/>
      <c r="AN145" s="4"/>
      <c r="AO145" s="4"/>
      <c r="AP145" s="4"/>
      <c r="AQ145" s="4"/>
      <c r="AR145" s="61"/>
    </row>
    <row r="146" s="58" customFormat="true" ht="13.8" hidden="false" customHeight="false" outlineLevel="0" collapsed="false">
      <c r="A146" s="104"/>
      <c r="B146" s="57"/>
      <c r="C146" s="58" t="s">
        <v>48</v>
      </c>
      <c r="D146" s="58" t="s">
        <v>284</v>
      </c>
      <c r="E146" s="43" t="str">
        <f aca="false">IF(E140&lt;&gt;"",IF(E140&gt;156800,15,IF(E140&gt;78400,14,IF(E140&gt;39200,13,IF(E140&gt;19600,12,IF(E140&gt;9800,11,IF(E140&gt;4900,10,IF(E140&gt;2450,9,IF(E140&gt;1220,8,IF(E140&gt;612,7,IF(E140&gt;306,6,IF(E140&gt;152,5,IF(E140&gt;76,4,IF(E140&gt;39,3,IF(E140&gt;20,2,IF(E140&gt;10,1,IF(E140=0,0)))))))))))))))),"")</f>
        <v/>
      </c>
      <c r="F146" s="43" t="str">
        <f aca="false">IF(F140&lt;&gt;"",IF(F140&gt;156800,15,IF(F140&gt;78400,14,IF(F140&gt;39200,13,IF(F140&gt;19600,12,IF(F140&gt;9800,11,IF(F140&gt;4900,10,IF(F140&gt;2450,9,IF(F140&gt;1220,8,IF(F140&gt;612,7,IF(F140&gt;306,6,IF(F140&gt;152,5,IF(F140&gt;76,4,IF(F140&gt;39,3,IF(F140&gt;20,2,IF(F140&gt;10,1,IF(F140=0,0)))))))))))))))),"")</f>
        <v/>
      </c>
      <c r="G146" s="43" t="str">
        <f aca="false">IF(G140&lt;&gt;"",IF(G140&gt;156800,15,IF(G140&gt;78400,14,IF(G140&gt;39200,13,IF(G140&gt;19600,12,IF(G140&gt;9800,11,IF(G140&gt;4900,10,IF(G140&gt;2450,9,IF(G140&gt;1220,8,IF(G140&gt;612,7,IF(G140&gt;306,6,IF(G140&gt;152,5,IF(G140&gt;76,4,IF(G140&gt;39,3,IF(G140&gt;20,2,IF(G140&gt;10,1,IF(G140=0,0)))))))))))))))),"")</f>
        <v/>
      </c>
      <c r="H146" s="43" t="str">
        <f aca="false">IF(H140&lt;&gt;"",IF(H140&gt;156800,15,IF(H140&gt;78400,14,IF(H140&gt;39200,13,IF(H140&gt;19600,12,IF(H140&gt;9800,11,IF(H140&gt;4900,10,IF(H140&gt;2450,9,IF(H140&gt;1220,8,IF(H140&gt;612,7,IF(H140&gt;306,6,IF(H140&gt;152,5,IF(H140&gt;76,4,IF(H140&gt;39,3,IF(H140&gt;20,2,IF(H140&gt;10,1,IF(H140=0,0)))))))))))))))),"")</f>
        <v/>
      </c>
      <c r="I146" s="43" t="str">
        <f aca="false">IF(I140&lt;&gt;"",IF(I140&gt;156800,15,IF(I140&gt;78400,14,IF(I140&gt;39200,13,IF(I140&gt;19600,12,IF(I140&gt;9800,11,IF(I140&gt;4900,10,IF(I140&gt;2450,9,IF(I140&gt;1220,8,IF(I140&gt;612,7,IF(I140&gt;306,6,IF(I140&gt;152,5,IF(I140&gt;76,4,IF(I140&gt;39,3,IF(I140&gt;20,2,IF(I140&gt;10,1,IF(I140=0,0)))))))))))))))),"")</f>
        <v/>
      </c>
      <c r="J146" s="43" t="str">
        <f aca="false">IF(J140&lt;&gt;"",IF(J140&gt;156800,15,IF(J140&gt;78400,14,IF(J140&gt;39200,13,IF(J140&gt;19600,12,IF(J140&gt;9800,11,IF(J140&gt;4900,10,IF(J140&gt;2450,9,IF(J140&gt;1220,8,IF(J140&gt;612,7,IF(J140&gt;306,6,IF(J140&gt;152,5,IF(J140&gt;76,4,IF(J140&gt;39,3,IF(J140&gt;20,2,IF(J140&gt;10,1,IF(J140=0,0)))))))))))))))),"")</f>
        <v/>
      </c>
      <c r="K146" s="43" t="str">
        <f aca="false">IF(K140&lt;&gt;"",IF(K140&gt;156800,15,IF(K140&gt;78400,14,IF(K140&gt;39200,13,IF(K140&gt;19600,12,IF(K140&gt;9800,11,IF(K140&gt;4900,10,IF(K140&gt;2450,9,IF(K140&gt;1220,8,IF(K140&gt;612,7,IF(K140&gt;306,6,IF(K140&gt;152,5,IF(K140&gt;76,4,IF(K140&gt;39,3,IF(K140&gt;20,2,IF(K140&gt;10,1,IF(K140=0,0)))))))))))))))),"")</f>
        <v/>
      </c>
      <c r="L146" s="43" t="str">
        <f aca="false">IF(L140&lt;&gt;"",IF(L140&gt;156800,15,IF(L140&gt;78400,14,IF(L140&gt;39200,13,IF(L140&gt;19600,12,IF(L140&gt;9800,11,IF(L140&gt;4900,10,IF(L140&gt;2450,9,IF(L140&gt;1220,8,IF(L140&gt;612,7,IF(L140&gt;306,6,IF(L140&gt;152,5,IF(L140&gt;76,4,IF(L140&gt;39,3,IF(L140&gt;20,2,IF(L140&gt;10,1,IF(L140=0,0)))))))))))))))),"")</f>
        <v/>
      </c>
      <c r="M146" s="43" t="str">
        <f aca="false">IF(M140&lt;&gt;"",IF(M140&gt;156800,15,IF(M140&gt;78400,14,IF(M140&gt;39200,13,IF(M140&gt;19600,12,IF(M140&gt;9800,11,IF(M140&gt;4900,10,IF(M140&gt;2450,9,IF(M140&gt;1220,8,IF(M140&gt;612,7,IF(M140&gt;306,6,IF(M140&gt;152,5,IF(M140&gt;76,4,IF(M140&gt;39,3,IF(M140&gt;20,2,IF(M140&gt;10,1,IF(M140=0,0)))))))))))))))),"")</f>
        <v/>
      </c>
      <c r="N146" s="43" t="str">
        <f aca="false">IF(N140&lt;&gt;"",IF(N140&gt;156800,15,IF(N140&gt;78400,14,IF(N140&gt;39200,13,IF(N140&gt;19600,12,IF(N140&gt;9800,11,IF(N140&gt;4900,10,IF(N140&gt;2450,9,IF(N140&gt;1220,8,IF(N140&gt;612,7,IF(N140&gt;306,6,IF(N140&gt;152,5,IF(N140&gt;76,4,IF(N140&gt;39,3,IF(N140&gt;20,2,IF(N140&gt;10,1,IF(N140=0,0)))))))))))))))),"")</f>
        <v/>
      </c>
      <c r="O146" s="43" t="str">
        <f aca="false">IF(O140&lt;&gt;"",IF(O140&gt;156800,15,IF(O140&gt;78400,14,IF(O140&gt;39200,13,IF(O140&gt;19600,12,IF(O140&gt;9800,11,IF(O140&gt;4900,10,IF(O140&gt;2450,9,IF(O140&gt;1220,8,IF(O140&gt;612,7,IF(O140&gt;306,6,IF(O140&gt;152,5,IF(O140&gt;76,4,IF(O140&gt;39,3,IF(O140&gt;20,2,IF(O140&gt;10,1,IF(O140=0,0)))))))))))))))),"")</f>
        <v/>
      </c>
      <c r="P146" s="43" t="str">
        <f aca="false">IF(P140&lt;&gt;"",IF(P140&gt;156800,15,IF(P140&gt;78400,14,IF(P140&gt;39200,13,IF(P140&gt;19600,12,IF(P140&gt;9800,11,IF(P140&gt;4900,10,IF(P140&gt;2450,9,IF(P140&gt;1220,8,IF(P140&gt;612,7,IF(P140&gt;306,6,IF(P140&gt;152,5,IF(P140&gt;76,4,IF(P140&gt;39,3,IF(P140&gt;20,2,IF(P140&gt;10,1,IF(P140=0,0)))))))))))))))),"")</f>
        <v/>
      </c>
      <c r="Q146" s="43" t="str">
        <f aca="false">IF(Q140&lt;&gt;"",IF(Q140&gt;156800,15,IF(Q140&gt;78400,14,IF(Q140&gt;39200,13,IF(Q140&gt;19600,12,IF(Q140&gt;9800,11,IF(Q140&gt;4900,10,IF(Q140&gt;2450,9,IF(Q140&gt;1220,8,IF(Q140&gt;612,7,IF(Q140&gt;306,6,IF(Q140&gt;152,5,IF(Q140&gt;76,4,IF(Q140&gt;39,3,IF(Q140&gt;20,2,IF(Q140&gt;10,1,IF(Q140=0,0)))))))))))))))),"")</f>
        <v/>
      </c>
      <c r="R146" s="43" t="str">
        <f aca="false">IF(R140&lt;&gt;"",IF(R140&gt;156800,15,IF(R140&gt;78400,14,IF(R140&gt;39200,13,IF(R140&gt;19600,12,IF(R140&gt;9800,11,IF(R140&gt;4900,10,IF(R140&gt;2450,9,IF(R140&gt;1220,8,IF(R140&gt;612,7,IF(R140&gt;306,6,IF(R140&gt;152,5,IF(R140&gt;76,4,IF(R140&gt;39,3,IF(R140&gt;20,2,IF(R140&gt;10,1,IF(R140=0,0)))))))))))))))),"")</f>
        <v/>
      </c>
      <c r="S146" s="43" t="str">
        <f aca="false">IF(S140&lt;&gt;"",IF(S140&gt;156800,15,IF(S140&gt;78400,14,IF(S140&gt;39200,13,IF(S140&gt;19600,12,IF(S140&gt;9800,11,IF(S140&gt;4900,10,IF(S140&gt;2450,9,IF(S140&gt;1220,8,IF(S140&gt;612,7,IF(S140&gt;306,6,IF(S140&gt;152,5,IF(S140&gt;76,4,IF(S140&gt;39,3,IF(S140&gt;20,2,IF(S140&gt;10,1,IF(S140=0,0)))))))))))))))),"")</f>
        <v/>
      </c>
      <c r="T146" s="43" t="str">
        <f aca="false">IF(T140&lt;&gt;"",IF(T140&gt;156800,15,IF(T140&gt;78400,14,IF(T140&gt;39200,13,IF(T140&gt;19600,12,IF(T140&gt;9800,11,IF(T140&gt;4900,10,IF(T140&gt;2450,9,IF(T140&gt;1220,8,IF(T140&gt;612,7,IF(T140&gt;306,6,IF(T140&gt;152,5,IF(T140&gt;76,4,IF(T140&gt;39,3,IF(T140&gt;20,2,IF(T140&gt;10,1,IF(T140=0,0)))))))))))))))),"")</f>
        <v/>
      </c>
      <c r="U146" s="43" t="str">
        <f aca="false">IF(U140&lt;&gt;"",IF(U140&gt;156800,15,IF(U140&gt;78400,14,IF(U140&gt;39200,13,IF(U140&gt;19600,12,IF(U140&gt;9800,11,IF(U140&gt;4900,10,IF(U140&gt;2450,9,IF(U140&gt;1220,8,IF(U140&gt;612,7,IF(U140&gt;306,6,IF(U140&gt;152,5,IF(U140&gt;76,4,IF(U140&gt;39,3,IF(U140&gt;20,2,IF(U140&gt;10,1,IF(U140=0,0)))))))))))))))),"")</f>
        <v/>
      </c>
      <c r="V146" s="43" t="str">
        <f aca="false">IF(V140&lt;&gt;"",IF(V140&gt;156800,15,IF(V140&gt;78400,14,IF(V140&gt;39200,13,IF(V140&gt;19600,12,IF(V140&gt;9800,11,IF(V140&gt;4900,10,IF(V140&gt;2450,9,IF(V140&gt;1220,8,IF(V140&gt;612,7,IF(V140&gt;306,6,IF(V140&gt;152,5,IF(V140&gt;76,4,IF(V140&gt;39,3,IF(V140&gt;20,2,IF(V140&gt;10,1,IF(V140=0,0)))))))))))))))),"")</f>
        <v/>
      </c>
      <c r="W146" s="43" t="str">
        <f aca="false">IF(W140&lt;&gt;"",IF(W140&gt;156800,15,IF(W140&gt;78400,14,IF(W140&gt;39200,13,IF(W140&gt;19600,12,IF(W140&gt;9800,11,IF(W140&gt;4900,10,IF(W140&gt;2450,9,IF(W140&gt;1220,8,IF(W140&gt;612,7,IF(W140&gt;306,6,IF(W140&gt;152,5,IF(W140&gt;76,4,IF(W140&gt;39,3,IF(W140&gt;20,2,IF(W140&gt;10,1,IF(W140=0,0)))))))))))))))),"")</f>
        <v/>
      </c>
      <c r="X146" s="43" t="str">
        <f aca="false">IF(X140&lt;&gt;"",IF(X140&gt;156800,15,IF(X140&gt;78400,14,IF(X140&gt;39200,13,IF(X140&gt;19600,12,IF(X140&gt;9800,11,IF(X140&gt;4900,10,IF(X140&gt;2450,9,IF(X140&gt;1220,8,IF(X140&gt;612,7,IF(X140&gt;306,6,IF(X140&gt;152,5,IF(X140&gt;76,4,IF(X140&gt;39,3,IF(X140&gt;20,2,IF(X140&gt;10,1,IF(X140=0,0)))))))))))))))),"")</f>
        <v/>
      </c>
      <c r="Y146" s="43" t="str">
        <f aca="false">IF(Y140&lt;&gt;"",IF(Y140&gt;156800,15,IF(Y140&gt;78400,14,IF(Y140&gt;39200,13,IF(Y140&gt;19600,12,IF(Y140&gt;9800,11,IF(Y140&gt;4900,10,IF(Y140&gt;2450,9,IF(Y140&gt;1220,8,IF(Y140&gt;612,7,IF(Y140&gt;306,6,IF(Y140&gt;152,5,IF(Y140&gt;76,4,IF(Y140&gt;39,3,IF(Y140&gt;20,2,IF(Y140&gt;10,1,IF(Y140=0,0)))))))))))))))),"")</f>
        <v/>
      </c>
      <c r="Z146" s="43" t="str">
        <f aca="false">IF(Z140&lt;&gt;"",IF(Z140&gt;156800,15,IF(Z140&gt;78400,14,IF(Z140&gt;39200,13,IF(Z140&gt;19600,12,IF(Z140&gt;9800,11,IF(Z140&gt;4900,10,IF(Z140&gt;2450,9,IF(Z140&gt;1220,8,IF(Z140&gt;612,7,IF(Z140&gt;306,6,IF(Z140&gt;152,5,IF(Z140&gt;76,4,IF(Z140&gt;39,3,IF(Z140&gt;20,2,IF(Z140&gt;10,1,IF(Z140=0,0)))))))))))))))),"")</f>
        <v/>
      </c>
      <c r="AA146" s="43" t="str">
        <f aca="false">IF(AA140&lt;&gt;"",IF(AA140&gt;156800,15,IF(AA140&gt;78400,14,IF(AA140&gt;39200,13,IF(AA140&gt;19600,12,IF(AA140&gt;9800,11,IF(AA140&gt;4900,10,IF(AA140&gt;2450,9,IF(AA140&gt;1220,8,IF(AA140&gt;612,7,IF(AA140&gt;306,6,IF(AA140&gt;152,5,IF(AA140&gt;76,4,IF(AA140&gt;39,3,IF(AA140&gt;20,2,IF(AA140&gt;10,1,IF(AA140=0,0)))))))))))))))),"")</f>
        <v/>
      </c>
      <c r="AB146" s="43" t="str">
        <f aca="false">IF(AB140&lt;&gt;"",IF(AB140&gt;156800,15,IF(AB140&gt;78400,14,IF(AB140&gt;39200,13,IF(AB140&gt;19600,12,IF(AB140&gt;9800,11,IF(AB140&gt;4900,10,IF(AB140&gt;2450,9,IF(AB140&gt;1220,8,IF(AB140&gt;612,7,IF(AB140&gt;306,6,IF(AB140&gt;152,5,IF(AB140&gt;76,4,IF(AB140&gt;39,3,IF(AB140&gt;20,2,IF(AB140&gt;10,1,IF(AB140=0,0)))))))))))))))),"")</f>
        <v/>
      </c>
      <c r="AC146" s="43" t="str">
        <f aca="false">IF(AC140&lt;&gt;"",IF(AC140&gt;156800,15,IF(AC140&gt;78400,14,IF(AC140&gt;39200,13,IF(AC140&gt;19600,12,IF(AC140&gt;9800,11,IF(AC140&gt;4900,10,IF(AC140&gt;2450,9,IF(AC140&gt;1220,8,IF(AC140&gt;612,7,IF(AC140&gt;306,6,IF(AC140&gt;152,5,IF(AC140&gt;76,4,IF(AC140&gt;39,3,IF(AC140&gt;20,2,IF(AC140&gt;10,1,IF(AC140=0,0)))))))))))))))),"")</f>
        <v/>
      </c>
      <c r="AD146" s="43" t="str">
        <f aca="false">IF(AD140&lt;&gt;"",IF(AD140&gt;156800,15,IF(AD140&gt;78400,14,IF(AD140&gt;39200,13,IF(AD140&gt;19600,12,IF(AD140&gt;9800,11,IF(AD140&gt;4900,10,IF(AD140&gt;2450,9,IF(AD140&gt;1220,8,IF(AD140&gt;612,7,IF(AD140&gt;306,6,IF(AD140&gt;152,5,IF(AD140&gt;76,4,IF(AD140&gt;39,3,IF(AD140&gt;20,2,IF(AD140&gt;10,1,IF(AD140=0,0)))))))))))))))),"")</f>
        <v/>
      </c>
      <c r="AE146" s="43" t="str">
        <f aca="false">IF(AE140&lt;&gt;"",IF(AE140&gt;156800,15,IF(AE140&gt;78400,14,IF(AE140&gt;39200,13,IF(AE140&gt;19600,12,IF(AE140&gt;9800,11,IF(AE140&gt;4900,10,IF(AE140&gt;2450,9,IF(AE140&gt;1220,8,IF(AE140&gt;612,7,IF(AE140&gt;306,6,IF(AE140&gt;152,5,IF(AE140&gt;76,4,IF(AE140&gt;39,3,IF(AE140&gt;20,2,IF(AE140&gt;10,1,IF(AE140=0,0)))))))))))))))),"")</f>
        <v/>
      </c>
      <c r="AF146" s="43" t="str">
        <f aca="false">IF(AF140&lt;&gt;"",IF(AF140&gt;156800,15,IF(AF140&gt;78400,14,IF(AF140&gt;39200,13,IF(AF140&gt;19600,12,IF(AF140&gt;9800,11,IF(AF140&gt;4900,10,IF(AF140&gt;2450,9,IF(AF140&gt;1220,8,IF(AF140&gt;612,7,IF(AF140&gt;306,6,IF(AF140&gt;152,5,IF(AF140&gt;76,4,IF(AF140&gt;39,3,IF(AF140&gt;20,2,IF(AF140&gt;10,1,IF(AF140=0,0)))))))))))))))),"")</f>
        <v/>
      </c>
      <c r="AG146" s="43" t="str">
        <f aca="false">IF(AG140&lt;&gt;"",IF(AG140&gt;156800,15,IF(AG140&gt;78400,14,IF(AG140&gt;39200,13,IF(AG140&gt;19600,12,IF(AG140&gt;9800,11,IF(AG140&gt;4900,10,IF(AG140&gt;2450,9,IF(AG140&gt;1220,8,IF(AG140&gt;612,7,IF(AG140&gt;306,6,IF(AG140&gt;152,5,IF(AG140&gt;76,4,IF(AG140&gt;39,3,IF(AG140&gt;20,2,IF(AG140&gt;10,1,IF(AG140=0,0)))))))))))))))),"")</f>
        <v/>
      </c>
      <c r="AH146" s="43" t="str">
        <f aca="false">IF(AH140&lt;&gt;"",IF(AH140&gt;156800,15,IF(AH140&gt;78400,14,IF(AH140&gt;39200,13,IF(AH140&gt;19600,12,IF(AH140&gt;9800,11,IF(AH140&gt;4900,10,IF(AH140&gt;2450,9,IF(AH140&gt;1220,8,IF(AH140&gt;612,7,IF(AH140&gt;306,6,IF(AH140&gt;152,5,IF(AH140&gt;76,4,IF(AH140&gt;39,3,IF(AH140&gt;20,2,IF(AH140&gt;10,1,IF(AH140=0,0)))))))))))))))),"")</f>
        <v/>
      </c>
      <c r="AI146" s="43" t="str">
        <f aca="false">IF(AI140&lt;&gt;"",IF(AI140&gt;156800,15,IF(AI140&gt;78400,14,IF(AI140&gt;39200,13,IF(AI140&gt;19600,12,IF(AI140&gt;9800,11,IF(AI140&gt;4900,10,IF(AI140&gt;2450,9,IF(AI140&gt;1220,8,IF(AI140&gt;612,7,IF(AI140&gt;306,6,IF(AI140&gt;152,5,IF(AI140&gt;76,4,IF(AI140&gt;39,3,IF(AI140&gt;20,2,IF(AI140&gt;10,1,IF(AI140=0,0)))))))))))))))),"")</f>
        <v/>
      </c>
      <c r="AJ146" s="43" t="str">
        <f aca="false">IF(AJ140&lt;&gt;"",IF(AJ140&gt;156800,15,IF(AJ140&gt;78400,14,IF(AJ140&gt;39200,13,IF(AJ140&gt;19600,12,IF(AJ140&gt;9800,11,IF(AJ140&gt;4900,10,IF(AJ140&gt;2450,9,IF(AJ140&gt;1220,8,IF(AJ140&gt;612,7,IF(AJ140&gt;306,6,IF(AJ140&gt;152,5,IF(AJ140&gt;76,4,IF(AJ140&gt;39,3,IF(AJ140&gt;20,2,IF(AJ140&gt;10,1,IF(AJ140=0,0)))))))))))))))),"")</f>
        <v/>
      </c>
      <c r="AK146" s="44" t="str">
        <f aca="false">IF(AK140&lt;&gt;"",IF(AK140&gt;156800,15,IF(AK140&gt;78400,14,IF(AK140&gt;39200,13,IF(AK140&gt;19600,12,IF(AK140&gt;9800,11,IF(AK140&gt;4900,10,IF(AK140&gt;2450,9,IF(AK140&gt;1220,8,IF(AK140&gt;612,7,IF(AK140&gt;306,6,IF(AK140&gt;152,5,IF(AK140&gt;76,4,IF(AK140&gt;39,3,IF(AK140&gt;20,2,IF(AK140&gt;10,1,IF(AK140=0,0)))))))))))))))),"")</f>
        <v/>
      </c>
      <c r="AL146" s="3"/>
      <c r="AM146" s="4"/>
      <c r="AN146" s="4"/>
      <c r="AO146" s="4"/>
      <c r="AP146" s="4"/>
      <c r="AQ146" s="4"/>
      <c r="AR146" s="61"/>
    </row>
    <row r="147" s="58" customFormat="true" ht="13.8" hidden="false" customHeight="false" outlineLevel="0" collapsed="false">
      <c r="A147" s="104"/>
      <c r="B147" s="57"/>
      <c r="C147" s="58" t="s">
        <v>50</v>
      </c>
      <c r="D147" s="58" t="s">
        <v>285</v>
      </c>
      <c r="E147" s="43" t="str">
        <f aca="false">IF(E141&lt;&gt;"",IF(E141&gt;27120,15,IF(E141&gt;13560,14,IF(E141&gt;6780,13,IF(E141&gt;3390,12,IF(E141&gt;1700,11,IF(E141&gt;848,10,IF(E141&gt;424,9,IF(E141&gt;212,8,IF(E141&gt;106,7,IF(E141&gt;53,6,IF(E141&gt;26,5,IF(E141&gt;13,4,IF(E141&gt;7,3,IF(E141&gt;4,2,IF(E141&gt;2,1,IF(E141=0,0)))))))))))))))),"")</f>
        <v/>
      </c>
      <c r="F147" s="43" t="str">
        <f aca="false">IF(F141&lt;&gt;"",IF(F141&gt;27120,15,IF(F141&gt;13560,14,IF(F141&gt;6780,13,IF(F141&gt;3390,12,IF(F141&gt;1700,11,IF(F141&gt;848,10,IF(F141&gt;424,9,IF(F141&gt;212,8,IF(F141&gt;106,7,IF(F141&gt;53,6,IF(F141&gt;26,5,IF(F141&gt;13,4,IF(F141&gt;7,3,IF(F141&gt;4,2,IF(F141&gt;2,1,IF(F141=0,0)))))))))))))))),"")</f>
        <v/>
      </c>
      <c r="G147" s="43" t="str">
        <f aca="false">IF(G141&lt;&gt;"",IF(G141&gt;27120,15,IF(G141&gt;13560,14,IF(G141&gt;6780,13,IF(G141&gt;3390,12,IF(G141&gt;1700,11,IF(G141&gt;848,10,IF(G141&gt;424,9,IF(G141&gt;212,8,IF(G141&gt;106,7,IF(G141&gt;53,6,IF(G141&gt;26,5,IF(G141&gt;13,4,IF(G141&gt;7,3,IF(G141&gt;4,2,IF(G141&gt;2,1,IF(G141=0,0)))))))))))))))),"")</f>
        <v/>
      </c>
      <c r="H147" s="43" t="str">
        <f aca="false">IF(H141&lt;&gt;"",IF(H141&gt;27120,15,IF(H141&gt;13560,14,IF(H141&gt;6780,13,IF(H141&gt;3390,12,IF(H141&gt;1700,11,IF(H141&gt;848,10,IF(H141&gt;424,9,IF(H141&gt;212,8,IF(H141&gt;106,7,IF(H141&gt;53,6,IF(H141&gt;26,5,IF(H141&gt;13,4,IF(H141&gt;7,3,IF(H141&gt;4,2,IF(H141&gt;2,1,IF(H141=0,0)))))))))))))))),"")</f>
        <v/>
      </c>
      <c r="I147" s="43" t="str">
        <f aca="false">IF(I141&lt;&gt;"",IF(I141&gt;27120,15,IF(I141&gt;13560,14,IF(I141&gt;6780,13,IF(I141&gt;3390,12,IF(I141&gt;1700,11,IF(I141&gt;848,10,IF(I141&gt;424,9,IF(I141&gt;212,8,IF(I141&gt;106,7,IF(I141&gt;53,6,IF(I141&gt;26,5,IF(I141&gt;13,4,IF(I141&gt;7,3,IF(I141&gt;4,2,IF(I141&gt;2,1,IF(I141=0,0)))))))))))))))),"")</f>
        <v/>
      </c>
      <c r="J147" s="43" t="str">
        <f aca="false">IF(J141&lt;&gt;"",IF(J141&gt;27120,15,IF(J141&gt;13560,14,IF(J141&gt;6780,13,IF(J141&gt;3390,12,IF(J141&gt;1700,11,IF(J141&gt;848,10,IF(J141&gt;424,9,IF(J141&gt;212,8,IF(J141&gt;106,7,IF(J141&gt;53,6,IF(J141&gt;26,5,IF(J141&gt;13,4,IF(J141&gt;7,3,IF(J141&gt;4,2,IF(J141&gt;2,1,IF(J141=0,0)))))))))))))))),"")</f>
        <v/>
      </c>
      <c r="K147" s="43" t="str">
        <f aca="false">IF(K141&lt;&gt;"",IF(K141&gt;27120,15,IF(K141&gt;13560,14,IF(K141&gt;6780,13,IF(K141&gt;3390,12,IF(K141&gt;1700,11,IF(K141&gt;848,10,IF(K141&gt;424,9,IF(K141&gt;212,8,IF(K141&gt;106,7,IF(K141&gt;53,6,IF(K141&gt;26,5,IF(K141&gt;13,4,IF(K141&gt;7,3,IF(K141&gt;4,2,IF(K141&gt;2,1,IF(K141=0,0)))))))))))))))),"")</f>
        <v/>
      </c>
      <c r="L147" s="43" t="str">
        <f aca="false">IF(L141&lt;&gt;"",IF(L141&gt;27120,15,IF(L141&gt;13560,14,IF(L141&gt;6780,13,IF(L141&gt;3390,12,IF(L141&gt;1700,11,IF(L141&gt;848,10,IF(L141&gt;424,9,IF(L141&gt;212,8,IF(L141&gt;106,7,IF(L141&gt;53,6,IF(L141&gt;26,5,IF(L141&gt;13,4,IF(L141&gt;7,3,IF(L141&gt;4,2,IF(L141&gt;2,1,IF(L141=0,0)))))))))))))))),"")</f>
        <v/>
      </c>
      <c r="M147" s="43" t="str">
        <f aca="false">IF(M141&lt;&gt;"",IF(M141&gt;27120,15,IF(M141&gt;13560,14,IF(M141&gt;6780,13,IF(M141&gt;3390,12,IF(M141&gt;1700,11,IF(M141&gt;848,10,IF(M141&gt;424,9,IF(M141&gt;212,8,IF(M141&gt;106,7,IF(M141&gt;53,6,IF(M141&gt;26,5,IF(M141&gt;13,4,IF(M141&gt;7,3,IF(M141&gt;4,2,IF(M141&gt;2,1,IF(M141=0,0)))))))))))))))),"")</f>
        <v/>
      </c>
      <c r="N147" s="43" t="str">
        <f aca="false">IF(N141&lt;&gt;"",IF(N141&gt;27120,15,IF(N141&gt;13560,14,IF(N141&gt;6780,13,IF(N141&gt;3390,12,IF(N141&gt;1700,11,IF(N141&gt;848,10,IF(N141&gt;424,9,IF(N141&gt;212,8,IF(N141&gt;106,7,IF(N141&gt;53,6,IF(N141&gt;26,5,IF(N141&gt;13,4,IF(N141&gt;7,3,IF(N141&gt;4,2,IF(N141&gt;2,1,IF(N141=0,0)))))))))))))))),"")</f>
        <v/>
      </c>
      <c r="O147" s="43" t="str">
        <f aca="false">IF(O141&lt;&gt;"",IF(O141&gt;27120,15,IF(O141&gt;13560,14,IF(O141&gt;6780,13,IF(O141&gt;3390,12,IF(O141&gt;1700,11,IF(O141&gt;848,10,IF(O141&gt;424,9,IF(O141&gt;212,8,IF(O141&gt;106,7,IF(O141&gt;53,6,IF(O141&gt;26,5,IF(O141&gt;13,4,IF(O141&gt;7,3,IF(O141&gt;4,2,IF(O141&gt;2,1,IF(O141=0,0)))))))))))))))),"")</f>
        <v/>
      </c>
      <c r="P147" s="43" t="str">
        <f aca="false">IF(P141&lt;&gt;"",IF(P141&gt;27120,15,IF(P141&gt;13560,14,IF(P141&gt;6780,13,IF(P141&gt;3390,12,IF(P141&gt;1700,11,IF(P141&gt;848,10,IF(P141&gt;424,9,IF(P141&gt;212,8,IF(P141&gt;106,7,IF(P141&gt;53,6,IF(P141&gt;26,5,IF(P141&gt;13,4,IF(P141&gt;7,3,IF(P141&gt;4,2,IF(P141&gt;2,1,IF(P141=0,0)))))))))))))))),"")</f>
        <v/>
      </c>
      <c r="Q147" s="43" t="str">
        <f aca="false">IF(Q141&lt;&gt;"",IF(Q141&gt;27120,15,IF(Q141&gt;13560,14,IF(Q141&gt;6780,13,IF(Q141&gt;3390,12,IF(Q141&gt;1700,11,IF(Q141&gt;848,10,IF(Q141&gt;424,9,IF(Q141&gt;212,8,IF(Q141&gt;106,7,IF(Q141&gt;53,6,IF(Q141&gt;26,5,IF(Q141&gt;13,4,IF(Q141&gt;7,3,IF(Q141&gt;4,2,IF(Q141&gt;2,1,IF(Q141=0,0)))))))))))))))),"")</f>
        <v/>
      </c>
      <c r="R147" s="43" t="str">
        <f aca="false">IF(R141&lt;&gt;"",IF(R141&gt;27120,15,IF(R141&gt;13560,14,IF(R141&gt;6780,13,IF(R141&gt;3390,12,IF(R141&gt;1700,11,IF(R141&gt;848,10,IF(R141&gt;424,9,IF(R141&gt;212,8,IF(R141&gt;106,7,IF(R141&gt;53,6,IF(R141&gt;26,5,IF(R141&gt;13,4,IF(R141&gt;7,3,IF(R141&gt;4,2,IF(R141&gt;2,1,IF(R141=0,0)))))))))))))))),"")</f>
        <v/>
      </c>
      <c r="S147" s="43" t="str">
        <f aca="false">IF(S141&lt;&gt;"",IF(S141&gt;27120,15,IF(S141&gt;13560,14,IF(S141&gt;6780,13,IF(S141&gt;3390,12,IF(S141&gt;1700,11,IF(S141&gt;848,10,IF(S141&gt;424,9,IF(S141&gt;212,8,IF(S141&gt;106,7,IF(S141&gt;53,6,IF(S141&gt;26,5,IF(S141&gt;13,4,IF(S141&gt;7,3,IF(S141&gt;4,2,IF(S141&gt;2,1,IF(S141=0,0)))))))))))))))),"")</f>
        <v/>
      </c>
      <c r="T147" s="43" t="str">
        <f aca="false">IF(T141&lt;&gt;"",IF(T141&gt;27120,15,IF(T141&gt;13560,14,IF(T141&gt;6780,13,IF(T141&gt;3390,12,IF(T141&gt;1700,11,IF(T141&gt;848,10,IF(T141&gt;424,9,IF(T141&gt;212,8,IF(T141&gt;106,7,IF(T141&gt;53,6,IF(T141&gt;26,5,IF(T141&gt;13,4,IF(T141&gt;7,3,IF(T141&gt;4,2,IF(T141&gt;2,1,IF(T141=0,0)))))))))))))))),"")</f>
        <v/>
      </c>
      <c r="U147" s="43" t="str">
        <f aca="false">IF(U141&lt;&gt;"",IF(U141&gt;27120,15,IF(U141&gt;13560,14,IF(U141&gt;6780,13,IF(U141&gt;3390,12,IF(U141&gt;1700,11,IF(U141&gt;848,10,IF(U141&gt;424,9,IF(U141&gt;212,8,IF(U141&gt;106,7,IF(U141&gt;53,6,IF(U141&gt;26,5,IF(U141&gt;13,4,IF(U141&gt;7,3,IF(U141&gt;4,2,IF(U141&gt;2,1,IF(U141=0,0)))))))))))))))),"")</f>
        <v/>
      </c>
      <c r="V147" s="43" t="str">
        <f aca="false">IF(V141&lt;&gt;"",IF(V141&gt;27120,15,IF(V141&gt;13560,14,IF(V141&gt;6780,13,IF(V141&gt;3390,12,IF(V141&gt;1700,11,IF(V141&gt;848,10,IF(V141&gt;424,9,IF(V141&gt;212,8,IF(V141&gt;106,7,IF(V141&gt;53,6,IF(V141&gt;26,5,IF(V141&gt;13,4,IF(V141&gt;7,3,IF(V141&gt;4,2,IF(V141&gt;2,1,IF(V141=0,0)))))))))))))))),"")</f>
        <v/>
      </c>
      <c r="W147" s="43" t="str">
        <f aca="false">IF(W141&lt;&gt;"",IF(W141&gt;27120,15,IF(W141&gt;13560,14,IF(W141&gt;6780,13,IF(W141&gt;3390,12,IF(W141&gt;1700,11,IF(W141&gt;848,10,IF(W141&gt;424,9,IF(W141&gt;212,8,IF(W141&gt;106,7,IF(W141&gt;53,6,IF(W141&gt;26,5,IF(W141&gt;13,4,IF(W141&gt;7,3,IF(W141&gt;4,2,IF(W141&gt;2,1,IF(W141=0,0)))))))))))))))),"")</f>
        <v/>
      </c>
      <c r="X147" s="43" t="str">
        <f aca="false">IF(X141&lt;&gt;"",IF(X141&gt;27120,15,IF(X141&gt;13560,14,IF(X141&gt;6780,13,IF(X141&gt;3390,12,IF(X141&gt;1700,11,IF(X141&gt;848,10,IF(X141&gt;424,9,IF(X141&gt;212,8,IF(X141&gt;106,7,IF(X141&gt;53,6,IF(X141&gt;26,5,IF(X141&gt;13,4,IF(X141&gt;7,3,IF(X141&gt;4,2,IF(X141&gt;2,1,IF(X141=0,0)))))))))))))))),"")</f>
        <v/>
      </c>
      <c r="Y147" s="43" t="str">
        <f aca="false">IF(Y141&lt;&gt;"",IF(Y141&gt;27120,15,IF(Y141&gt;13560,14,IF(Y141&gt;6780,13,IF(Y141&gt;3390,12,IF(Y141&gt;1700,11,IF(Y141&gt;848,10,IF(Y141&gt;424,9,IF(Y141&gt;212,8,IF(Y141&gt;106,7,IF(Y141&gt;53,6,IF(Y141&gt;26,5,IF(Y141&gt;13,4,IF(Y141&gt;7,3,IF(Y141&gt;4,2,IF(Y141&gt;2,1,IF(Y141=0,0)))))))))))))))),"")</f>
        <v/>
      </c>
      <c r="Z147" s="43" t="str">
        <f aca="false">IF(Z141&lt;&gt;"",IF(Z141&gt;27120,15,IF(Z141&gt;13560,14,IF(Z141&gt;6780,13,IF(Z141&gt;3390,12,IF(Z141&gt;1700,11,IF(Z141&gt;848,10,IF(Z141&gt;424,9,IF(Z141&gt;212,8,IF(Z141&gt;106,7,IF(Z141&gt;53,6,IF(Z141&gt;26,5,IF(Z141&gt;13,4,IF(Z141&gt;7,3,IF(Z141&gt;4,2,IF(Z141&gt;2,1,IF(Z141=0,0)))))))))))))))),"")</f>
        <v/>
      </c>
      <c r="AA147" s="43" t="str">
        <f aca="false">IF(AA141&lt;&gt;"",IF(AA141&gt;27120,15,IF(AA141&gt;13560,14,IF(AA141&gt;6780,13,IF(AA141&gt;3390,12,IF(AA141&gt;1700,11,IF(AA141&gt;848,10,IF(AA141&gt;424,9,IF(AA141&gt;212,8,IF(AA141&gt;106,7,IF(AA141&gt;53,6,IF(AA141&gt;26,5,IF(AA141&gt;13,4,IF(AA141&gt;7,3,IF(AA141&gt;4,2,IF(AA141&gt;2,1,IF(AA141=0,0)))))))))))))))),"")</f>
        <v/>
      </c>
      <c r="AB147" s="43" t="str">
        <f aca="false">IF(AB141&lt;&gt;"",IF(AB141&gt;27120,15,IF(AB141&gt;13560,14,IF(AB141&gt;6780,13,IF(AB141&gt;3390,12,IF(AB141&gt;1700,11,IF(AB141&gt;848,10,IF(AB141&gt;424,9,IF(AB141&gt;212,8,IF(AB141&gt;106,7,IF(AB141&gt;53,6,IF(AB141&gt;26,5,IF(AB141&gt;13,4,IF(AB141&gt;7,3,IF(AB141&gt;4,2,IF(AB141&gt;2,1,IF(AB141=0,0)))))))))))))))),"")</f>
        <v/>
      </c>
      <c r="AC147" s="43" t="str">
        <f aca="false">IF(AC141&lt;&gt;"",IF(AC141&gt;27120,15,IF(AC141&gt;13560,14,IF(AC141&gt;6780,13,IF(AC141&gt;3390,12,IF(AC141&gt;1700,11,IF(AC141&gt;848,10,IF(AC141&gt;424,9,IF(AC141&gt;212,8,IF(AC141&gt;106,7,IF(AC141&gt;53,6,IF(AC141&gt;26,5,IF(AC141&gt;13,4,IF(AC141&gt;7,3,IF(AC141&gt;4,2,IF(AC141&gt;2,1,IF(AC141=0,0)))))))))))))))),"")</f>
        <v/>
      </c>
      <c r="AD147" s="43" t="str">
        <f aca="false">IF(AD141&lt;&gt;"",IF(AD141&gt;27120,15,IF(AD141&gt;13560,14,IF(AD141&gt;6780,13,IF(AD141&gt;3390,12,IF(AD141&gt;1700,11,IF(AD141&gt;848,10,IF(AD141&gt;424,9,IF(AD141&gt;212,8,IF(AD141&gt;106,7,IF(AD141&gt;53,6,IF(AD141&gt;26,5,IF(AD141&gt;13,4,IF(AD141&gt;7,3,IF(AD141&gt;4,2,IF(AD141&gt;2,1,IF(AD141=0,0)))))))))))))))),"")</f>
        <v/>
      </c>
      <c r="AE147" s="43" t="str">
        <f aca="false">IF(AE141&lt;&gt;"",IF(AE141&gt;27120,15,IF(AE141&gt;13560,14,IF(AE141&gt;6780,13,IF(AE141&gt;3390,12,IF(AE141&gt;1700,11,IF(AE141&gt;848,10,IF(AE141&gt;424,9,IF(AE141&gt;212,8,IF(AE141&gt;106,7,IF(AE141&gt;53,6,IF(AE141&gt;26,5,IF(AE141&gt;13,4,IF(AE141&gt;7,3,IF(AE141&gt;4,2,IF(AE141&gt;2,1,IF(AE141=0,0)))))))))))))))),"")</f>
        <v/>
      </c>
      <c r="AF147" s="43" t="str">
        <f aca="false">IF(AF141&lt;&gt;"",IF(AF141&gt;27120,15,IF(AF141&gt;13560,14,IF(AF141&gt;6780,13,IF(AF141&gt;3390,12,IF(AF141&gt;1700,11,IF(AF141&gt;848,10,IF(AF141&gt;424,9,IF(AF141&gt;212,8,IF(AF141&gt;106,7,IF(AF141&gt;53,6,IF(AF141&gt;26,5,IF(AF141&gt;13,4,IF(AF141&gt;7,3,IF(AF141&gt;4,2,IF(AF141&gt;2,1,IF(AF141=0,0)))))))))))))))),"")</f>
        <v/>
      </c>
      <c r="AG147" s="43" t="str">
        <f aca="false">IF(AG141&lt;&gt;"",IF(AG141&gt;27120,15,IF(AG141&gt;13560,14,IF(AG141&gt;6780,13,IF(AG141&gt;3390,12,IF(AG141&gt;1700,11,IF(AG141&gt;848,10,IF(AG141&gt;424,9,IF(AG141&gt;212,8,IF(AG141&gt;106,7,IF(AG141&gt;53,6,IF(AG141&gt;26,5,IF(AG141&gt;13,4,IF(AG141&gt;7,3,IF(AG141&gt;4,2,IF(AG141&gt;2,1,IF(AG141=0,0)))))))))))))))),"")</f>
        <v/>
      </c>
      <c r="AH147" s="43" t="str">
        <f aca="false">IF(AH141&lt;&gt;"",IF(AH141&gt;27120,15,IF(AH141&gt;13560,14,IF(AH141&gt;6780,13,IF(AH141&gt;3390,12,IF(AH141&gt;1700,11,IF(AH141&gt;848,10,IF(AH141&gt;424,9,IF(AH141&gt;212,8,IF(AH141&gt;106,7,IF(AH141&gt;53,6,IF(AH141&gt;26,5,IF(AH141&gt;13,4,IF(AH141&gt;7,3,IF(AH141&gt;4,2,IF(AH141&gt;2,1,IF(AH141=0,0)))))))))))))))),"")</f>
        <v/>
      </c>
      <c r="AI147" s="43" t="str">
        <f aca="false">IF(AI141&lt;&gt;"",IF(AI141&gt;27120,15,IF(AI141&gt;13560,14,IF(AI141&gt;6780,13,IF(AI141&gt;3390,12,IF(AI141&gt;1700,11,IF(AI141&gt;848,10,IF(AI141&gt;424,9,IF(AI141&gt;212,8,IF(AI141&gt;106,7,IF(AI141&gt;53,6,IF(AI141&gt;26,5,IF(AI141&gt;13,4,IF(AI141&gt;7,3,IF(AI141&gt;4,2,IF(AI141&gt;2,1,IF(AI141=0,0)))))))))))))))),"")</f>
        <v/>
      </c>
      <c r="AJ147" s="43" t="str">
        <f aca="false">IF(AJ141&lt;&gt;"",IF(AJ141&gt;27120,15,IF(AJ141&gt;13560,14,IF(AJ141&gt;6780,13,IF(AJ141&gt;3390,12,IF(AJ141&gt;1700,11,IF(AJ141&gt;848,10,IF(AJ141&gt;424,9,IF(AJ141&gt;212,8,IF(AJ141&gt;106,7,IF(AJ141&gt;53,6,IF(AJ141&gt;26,5,IF(AJ141&gt;13,4,IF(AJ141&gt;7,3,IF(AJ141&gt;4,2,IF(AJ141&gt;2,1,IF(AJ141=0,0)))))))))))))))),"")</f>
        <v/>
      </c>
      <c r="AK147" s="44" t="str">
        <f aca="false">IF(AK141&lt;&gt;"",IF(AK141&gt;27120,15,IF(AK141&gt;13560,14,IF(AK141&gt;6780,13,IF(AK141&gt;3390,12,IF(AK141&gt;1700,11,IF(AK141&gt;848,10,IF(AK141&gt;424,9,IF(AK141&gt;212,8,IF(AK141&gt;106,7,IF(AK141&gt;53,6,IF(AK141&gt;26,5,IF(AK141&gt;13,4,IF(AK141&gt;7,3,IF(AK141&gt;4,2,IF(AK141&gt;2,1,IF(AK141=0,0)))))))))))))))),"")</f>
        <v/>
      </c>
      <c r="AL147" s="3"/>
      <c r="AM147" s="4"/>
      <c r="AN147" s="4"/>
      <c r="AO147" s="4"/>
      <c r="AP147" s="4"/>
      <c r="AQ147" s="4"/>
      <c r="AR147" s="61"/>
    </row>
    <row r="148" s="58" customFormat="true" ht="13.8" hidden="false" customHeight="false" outlineLevel="0" collapsed="false">
      <c r="A148" s="104"/>
      <c r="B148" s="57"/>
      <c r="C148" s="58" t="s">
        <v>52</v>
      </c>
      <c r="D148" s="58" t="s">
        <v>286</v>
      </c>
      <c r="E148" s="43" t="str">
        <f aca="false">IF(E142&lt;&gt;"",IF(E142&gt;4096,15,IF(E142&gt;2048,14,IF(E142&gt;1024,13,IF(E142&gt;512,12,IF(E142&gt;256,11,IF(E142&gt;128,10,IF(E142&gt;64,9,IF(E142&gt;32,8,IF(E142&gt;16,7,IF(E142&gt;8,6,IF(E142&gt;4,5,IF(E142&gt;2,4,IF(E142&gt;1,3,IF(E142=1,1,IF(E142=0,0))))))))))))))),"")</f>
        <v/>
      </c>
      <c r="F148" s="43" t="str">
        <f aca="false">IF(F142&lt;&gt;"",IF(F142&gt;4096,15,IF(F142&gt;2048,14,IF(F142&gt;1024,13,IF(F142&gt;512,12,IF(F142&gt;256,11,IF(F142&gt;128,10,IF(F142&gt;64,9,IF(F142&gt;32,8,IF(F142&gt;16,7,IF(F142&gt;8,6,IF(F142&gt;4,5,IF(F142&gt;2,4,IF(F142&gt;1,3,IF(F142=1,1,IF(F142=0,0))))))))))))))),"")</f>
        <v/>
      </c>
      <c r="G148" s="43" t="str">
        <f aca="false">IF(G142&lt;&gt;"",IF(G142&gt;4096,15,IF(G142&gt;2048,14,IF(G142&gt;1024,13,IF(G142&gt;512,12,IF(G142&gt;256,11,IF(G142&gt;128,10,IF(G142&gt;64,9,IF(G142&gt;32,8,IF(G142&gt;16,7,IF(G142&gt;8,6,IF(G142&gt;4,5,IF(G142&gt;2,4,IF(G142&gt;1,3,IF(G142=1,1,IF(G142=0,0))))))))))))))),"")</f>
        <v/>
      </c>
      <c r="H148" s="43" t="str">
        <f aca="false">IF(H142&lt;&gt;"",IF(H142&gt;4096,15,IF(H142&gt;2048,14,IF(H142&gt;1024,13,IF(H142&gt;512,12,IF(H142&gt;256,11,IF(H142&gt;128,10,IF(H142&gt;64,9,IF(H142&gt;32,8,IF(H142&gt;16,7,IF(H142&gt;8,6,IF(H142&gt;4,5,IF(H142&gt;2,4,IF(H142&gt;1,3,IF(H142=1,1,IF(H142=0,0))))))))))))))),"")</f>
        <v/>
      </c>
      <c r="I148" s="43" t="str">
        <f aca="false">IF(I142&lt;&gt;"",IF(I142&gt;4096,15,IF(I142&gt;2048,14,IF(I142&gt;1024,13,IF(I142&gt;512,12,IF(I142&gt;256,11,IF(I142&gt;128,10,IF(I142&gt;64,9,IF(I142&gt;32,8,IF(I142&gt;16,7,IF(I142&gt;8,6,IF(I142&gt;4,5,IF(I142&gt;2,4,IF(I142&gt;1,3,IF(I142=1,1,IF(I142=0,0))))))))))))))),"")</f>
        <v/>
      </c>
      <c r="J148" s="43" t="str">
        <f aca="false">IF(J142&lt;&gt;"",IF(J142&gt;4096,15,IF(J142&gt;2048,14,IF(J142&gt;1024,13,IF(J142&gt;512,12,IF(J142&gt;256,11,IF(J142&gt;128,10,IF(J142&gt;64,9,IF(J142&gt;32,8,IF(J142&gt;16,7,IF(J142&gt;8,6,IF(J142&gt;4,5,IF(J142&gt;2,4,IF(J142&gt;1,3,IF(J142=1,1,IF(J142=0,0))))))))))))))),"")</f>
        <v/>
      </c>
      <c r="K148" s="43" t="str">
        <f aca="false">IF(K142&lt;&gt;"",IF(K142&gt;4096,15,IF(K142&gt;2048,14,IF(K142&gt;1024,13,IF(K142&gt;512,12,IF(K142&gt;256,11,IF(K142&gt;128,10,IF(K142&gt;64,9,IF(K142&gt;32,8,IF(K142&gt;16,7,IF(K142&gt;8,6,IF(K142&gt;4,5,IF(K142&gt;2,4,IF(K142&gt;1,3,IF(K142=1,1,IF(K142=0,0))))))))))))))),"")</f>
        <v/>
      </c>
      <c r="L148" s="43" t="str">
        <f aca="false">IF(L142&lt;&gt;"",IF(L142&gt;4096,15,IF(L142&gt;2048,14,IF(L142&gt;1024,13,IF(L142&gt;512,12,IF(L142&gt;256,11,IF(L142&gt;128,10,IF(L142&gt;64,9,IF(L142&gt;32,8,IF(L142&gt;16,7,IF(L142&gt;8,6,IF(L142&gt;4,5,IF(L142&gt;2,4,IF(L142&gt;1,3,IF(L142=1,1,IF(L142=0,0))))))))))))))),"")</f>
        <v/>
      </c>
      <c r="M148" s="43" t="str">
        <f aca="false">IF(M142&lt;&gt;"",IF(M142&gt;4096,15,IF(M142&gt;2048,14,IF(M142&gt;1024,13,IF(M142&gt;512,12,IF(M142&gt;256,11,IF(M142&gt;128,10,IF(M142&gt;64,9,IF(M142&gt;32,8,IF(M142&gt;16,7,IF(M142&gt;8,6,IF(M142&gt;4,5,IF(M142&gt;2,4,IF(M142&gt;1,3,IF(M142=1,1,IF(M142=0,0))))))))))))))),"")</f>
        <v/>
      </c>
      <c r="N148" s="43" t="str">
        <f aca="false">IF(N142&lt;&gt;"",IF(N142&gt;4096,15,IF(N142&gt;2048,14,IF(N142&gt;1024,13,IF(N142&gt;512,12,IF(N142&gt;256,11,IF(N142&gt;128,10,IF(N142&gt;64,9,IF(N142&gt;32,8,IF(N142&gt;16,7,IF(N142&gt;8,6,IF(N142&gt;4,5,IF(N142&gt;2,4,IF(N142&gt;1,3,IF(N142=1,1,IF(N142=0,0))))))))))))))),"")</f>
        <v/>
      </c>
      <c r="O148" s="43" t="str">
        <f aca="false">IF(O142&lt;&gt;"",IF(O142&gt;4096,15,IF(O142&gt;2048,14,IF(O142&gt;1024,13,IF(O142&gt;512,12,IF(O142&gt;256,11,IF(O142&gt;128,10,IF(O142&gt;64,9,IF(O142&gt;32,8,IF(O142&gt;16,7,IF(O142&gt;8,6,IF(O142&gt;4,5,IF(O142&gt;2,4,IF(O142&gt;1,3,IF(O142=1,1,IF(O142=0,0))))))))))))))),"")</f>
        <v/>
      </c>
      <c r="P148" s="43" t="str">
        <f aca="false">IF(P142&lt;&gt;"",IF(P142&gt;4096,15,IF(P142&gt;2048,14,IF(P142&gt;1024,13,IF(P142&gt;512,12,IF(P142&gt;256,11,IF(P142&gt;128,10,IF(P142&gt;64,9,IF(P142&gt;32,8,IF(P142&gt;16,7,IF(P142&gt;8,6,IF(P142&gt;4,5,IF(P142&gt;2,4,IF(P142&gt;1,3,IF(P142=1,1,IF(P142=0,0))))))))))))))),"")</f>
        <v/>
      </c>
      <c r="Q148" s="43" t="str">
        <f aca="false">IF(Q142&lt;&gt;"",IF(Q142&gt;4096,15,IF(Q142&gt;2048,14,IF(Q142&gt;1024,13,IF(Q142&gt;512,12,IF(Q142&gt;256,11,IF(Q142&gt;128,10,IF(Q142&gt;64,9,IF(Q142&gt;32,8,IF(Q142&gt;16,7,IF(Q142&gt;8,6,IF(Q142&gt;4,5,IF(Q142&gt;2,4,IF(Q142&gt;1,3,IF(Q142=1,1,IF(Q142=0,0))))))))))))))),"")</f>
        <v/>
      </c>
      <c r="R148" s="43" t="str">
        <f aca="false">IF(R142&lt;&gt;"",IF(R142&gt;4096,15,IF(R142&gt;2048,14,IF(R142&gt;1024,13,IF(R142&gt;512,12,IF(R142&gt;256,11,IF(R142&gt;128,10,IF(R142&gt;64,9,IF(R142&gt;32,8,IF(R142&gt;16,7,IF(R142&gt;8,6,IF(R142&gt;4,5,IF(R142&gt;2,4,IF(R142&gt;1,3,IF(R142=1,1,IF(R142=0,0))))))))))))))),"")</f>
        <v/>
      </c>
      <c r="S148" s="43" t="str">
        <f aca="false">IF(S142&lt;&gt;"",IF(S142&gt;4096,15,IF(S142&gt;2048,14,IF(S142&gt;1024,13,IF(S142&gt;512,12,IF(S142&gt;256,11,IF(S142&gt;128,10,IF(S142&gt;64,9,IF(S142&gt;32,8,IF(S142&gt;16,7,IF(S142&gt;8,6,IF(S142&gt;4,5,IF(S142&gt;2,4,IF(S142&gt;1,3,IF(S142=1,1,IF(S142=0,0))))))))))))))),"")</f>
        <v/>
      </c>
      <c r="T148" s="43" t="str">
        <f aca="false">IF(T142&lt;&gt;"",IF(T142&gt;4096,15,IF(T142&gt;2048,14,IF(T142&gt;1024,13,IF(T142&gt;512,12,IF(T142&gt;256,11,IF(T142&gt;128,10,IF(T142&gt;64,9,IF(T142&gt;32,8,IF(T142&gt;16,7,IF(T142&gt;8,6,IF(T142&gt;4,5,IF(T142&gt;2,4,IF(T142&gt;1,3,IF(T142=1,1,IF(T142=0,0))))))))))))))),"")</f>
        <v/>
      </c>
      <c r="U148" s="43" t="str">
        <f aca="false">IF(U142&lt;&gt;"",IF(U142&gt;4096,15,IF(U142&gt;2048,14,IF(U142&gt;1024,13,IF(U142&gt;512,12,IF(U142&gt;256,11,IF(U142&gt;128,10,IF(U142&gt;64,9,IF(U142&gt;32,8,IF(U142&gt;16,7,IF(U142&gt;8,6,IF(U142&gt;4,5,IF(U142&gt;2,4,IF(U142&gt;1,3,IF(U142=1,1,IF(U142=0,0))))))))))))))),"")</f>
        <v/>
      </c>
      <c r="V148" s="43" t="str">
        <f aca="false">IF(V142&lt;&gt;"",IF(V142&gt;4096,15,IF(V142&gt;2048,14,IF(V142&gt;1024,13,IF(V142&gt;512,12,IF(V142&gt;256,11,IF(V142&gt;128,10,IF(V142&gt;64,9,IF(V142&gt;32,8,IF(V142&gt;16,7,IF(V142&gt;8,6,IF(V142&gt;4,5,IF(V142&gt;2,4,IF(V142&gt;1,3,IF(V142=1,1,IF(V142=0,0))))))))))))))),"")</f>
        <v/>
      </c>
      <c r="W148" s="43" t="str">
        <f aca="false">IF(W142&lt;&gt;"",IF(W142&gt;4096,15,IF(W142&gt;2048,14,IF(W142&gt;1024,13,IF(W142&gt;512,12,IF(W142&gt;256,11,IF(W142&gt;128,10,IF(W142&gt;64,9,IF(W142&gt;32,8,IF(W142&gt;16,7,IF(W142&gt;8,6,IF(W142&gt;4,5,IF(W142&gt;2,4,IF(W142&gt;1,3,IF(W142=1,1,IF(W142=0,0))))))))))))))),"")</f>
        <v/>
      </c>
      <c r="X148" s="43" t="str">
        <f aca="false">IF(X142&lt;&gt;"",IF(X142&gt;4096,15,IF(X142&gt;2048,14,IF(X142&gt;1024,13,IF(X142&gt;512,12,IF(X142&gt;256,11,IF(X142&gt;128,10,IF(X142&gt;64,9,IF(X142&gt;32,8,IF(X142&gt;16,7,IF(X142&gt;8,6,IF(X142&gt;4,5,IF(X142&gt;2,4,IF(X142&gt;1,3,IF(X142=1,1,IF(X142=0,0))))))))))))))),"")</f>
        <v/>
      </c>
      <c r="Y148" s="43" t="str">
        <f aca="false">IF(Y142&lt;&gt;"",IF(Y142&gt;4096,15,IF(Y142&gt;2048,14,IF(Y142&gt;1024,13,IF(Y142&gt;512,12,IF(Y142&gt;256,11,IF(Y142&gt;128,10,IF(Y142&gt;64,9,IF(Y142&gt;32,8,IF(Y142&gt;16,7,IF(Y142&gt;8,6,IF(Y142&gt;4,5,IF(Y142&gt;2,4,IF(Y142&gt;1,3,IF(Y142=1,1,IF(Y142=0,0))))))))))))))),"")</f>
        <v/>
      </c>
      <c r="Z148" s="43" t="str">
        <f aca="false">IF(Z142&lt;&gt;"",IF(Z142&gt;4096,15,IF(Z142&gt;2048,14,IF(Z142&gt;1024,13,IF(Z142&gt;512,12,IF(Z142&gt;256,11,IF(Z142&gt;128,10,IF(Z142&gt;64,9,IF(Z142&gt;32,8,IF(Z142&gt;16,7,IF(Z142&gt;8,6,IF(Z142&gt;4,5,IF(Z142&gt;2,4,IF(Z142&gt;1,3,IF(Z142=1,1,IF(Z142=0,0))))))))))))))),"")</f>
        <v/>
      </c>
      <c r="AA148" s="43" t="str">
        <f aca="false">IF(AA142&lt;&gt;"",IF(AA142&gt;4096,15,IF(AA142&gt;2048,14,IF(AA142&gt;1024,13,IF(AA142&gt;512,12,IF(AA142&gt;256,11,IF(AA142&gt;128,10,IF(AA142&gt;64,9,IF(AA142&gt;32,8,IF(AA142&gt;16,7,IF(AA142&gt;8,6,IF(AA142&gt;4,5,IF(AA142&gt;2,4,IF(AA142&gt;1,3,IF(AA142=1,1,IF(AA142=0,0))))))))))))))),"")</f>
        <v/>
      </c>
      <c r="AB148" s="43" t="str">
        <f aca="false">IF(AB142&lt;&gt;"",IF(AB142&gt;4096,15,IF(AB142&gt;2048,14,IF(AB142&gt;1024,13,IF(AB142&gt;512,12,IF(AB142&gt;256,11,IF(AB142&gt;128,10,IF(AB142&gt;64,9,IF(AB142&gt;32,8,IF(AB142&gt;16,7,IF(AB142&gt;8,6,IF(AB142&gt;4,5,IF(AB142&gt;2,4,IF(AB142&gt;1,3,IF(AB142=1,1,IF(AB142=0,0))))))))))))))),"")</f>
        <v/>
      </c>
      <c r="AC148" s="43" t="str">
        <f aca="false">IF(AC142&lt;&gt;"",IF(AC142&gt;4096,15,IF(AC142&gt;2048,14,IF(AC142&gt;1024,13,IF(AC142&gt;512,12,IF(AC142&gt;256,11,IF(AC142&gt;128,10,IF(AC142&gt;64,9,IF(AC142&gt;32,8,IF(AC142&gt;16,7,IF(AC142&gt;8,6,IF(AC142&gt;4,5,IF(AC142&gt;2,4,IF(AC142&gt;1,3,IF(AC142=1,1,IF(AC142=0,0))))))))))))))),"")</f>
        <v/>
      </c>
      <c r="AD148" s="43" t="str">
        <f aca="false">IF(AD142&lt;&gt;"",IF(AD142&gt;4096,15,IF(AD142&gt;2048,14,IF(AD142&gt;1024,13,IF(AD142&gt;512,12,IF(AD142&gt;256,11,IF(AD142&gt;128,10,IF(AD142&gt;64,9,IF(AD142&gt;32,8,IF(AD142&gt;16,7,IF(AD142&gt;8,6,IF(AD142&gt;4,5,IF(AD142&gt;2,4,IF(AD142&gt;1,3,IF(AD142=1,1,IF(AD142=0,0))))))))))))))),"")</f>
        <v/>
      </c>
      <c r="AE148" s="43" t="str">
        <f aca="false">IF(AE142&lt;&gt;"",IF(AE142&gt;4096,15,IF(AE142&gt;2048,14,IF(AE142&gt;1024,13,IF(AE142&gt;512,12,IF(AE142&gt;256,11,IF(AE142&gt;128,10,IF(AE142&gt;64,9,IF(AE142&gt;32,8,IF(AE142&gt;16,7,IF(AE142&gt;8,6,IF(AE142&gt;4,5,IF(AE142&gt;2,4,IF(AE142&gt;1,3,IF(AE142=1,1,IF(AE142=0,0))))))))))))))),"")</f>
        <v/>
      </c>
      <c r="AF148" s="43" t="str">
        <f aca="false">IF(AF142&lt;&gt;"",IF(AF142&gt;4096,15,IF(AF142&gt;2048,14,IF(AF142&gt;1024,13,IF(AF142&gt;512,12,IF(AF142&gt;256,11,IF(AF142&gt;128,10,IF(AF142&gt;64,9,IF(AF142&gt;32,8,IF(AF142&gt;16,7,IF(AF142&gt;8,6,IF(AF142&gt;4,5,IF(AF142&gt;2,4,IF(AF142&gt;1,3,IF(AF142=1,1,IF(AF142=0,0))))))))))))))),"")</f>
        <v/>
      </c>
      <c r="AG148" s="43" t="str">
        <f aca="false">IF(AG142&lt;&gt;"",IF(AG142&gt;4096,15,IF(AG142&gt;2048,14,IF(AG142&gt;1024,13,IF(AG142&gt;512,12,IF(AG142&gt;256,11,IF(AG142&gt;128,10,IF(AG142&gt;64,9,IF(AG142&gt;32,8,IF(AG142&gt;16,7,IF(AG142&gt;8,6,IF(AG142&gt;4,5,IF(AG142&gt;2,4,IF(AG142&gt;1,3,IF(AG142=1,1,IF(AG142=0,0))))))))))))))),"")</f>
        <v/>
      </c>
      <c r="AH148" s="43" t="str">
        <f aca="false">IF(AH142&lt;&gt;"",IF(AH142&gt;4096,15,IF(AH142&gt;2048,14,IF(AH142&gt;1024,13,IF(AH142&gt;512,12,IF(AH142&gt;256,11,IF(AH142&gt;128,10,IF(AH142&gt;64,9,IF(AH142&gt;32,8,IF(AH142&gt;16,7,IF(AH142&gt;8,6,IF(AH142&gt;4,5,IF(AH142&gt;2,4,IF(AH142&gt;1,3,IF(AH142=1,1,IF(AH142=0,0))))))))))))))),"")</f>
        <v/>
      </c>
      <c r="AI148" s="43" t="str">
        <f aca="false">IF(AI142&lt;&gt;"",IF(AI142&gt;4096,15,IF(AI142&gt;2048,14,IF(AI142&gt;1024,13,IF(AI142&gt;512,12,IF(AI142&gt;256,11,IF(AI142&gt;128,10,IF(AI142&gt;64,9,IF(AI142&gt;32,8,IF(AI142&gt;16,7,IF(AI142&gt;8,6,IF(AI142&gt;4,5,IF(AI142&gt;2,4,IF(AI142&gt;1,3,IF(AI142=1,1,IF(AI142=0,0))))))))))))))),"")</f>
        <v/>
      </c>
      <c r="AJ148" s="43" t="str">
        <f aca="false">IF(AJ142&lt;&gt;"",IF(AJ142&gt;4096,15,IF(AJ142&gt;2048,14,IF(AJ142&gt;1024,13,IF(AJ142&gt;512,12,IF(AJ142&gt;256,11,IF(AJ142&gt;128,10,IF(AJ142&gt;64,9,IF(AJ142&gt;32,8,IF(AJ142&gt;16,7,IF(AJ142&gt;8,6,IF(AJ142&gt;4,5,IF(AJ142&gt;2,4,IF(AJ142&gt;1,3,IF(AJ142=1,1,IF(AJ142=0,0))))))))))))))),"")</f>
        <v/>
      </c>
      <c r="AK148" s="44" t="str">
        <f aca="false">IF(AK142&lt;&gt;"",IF(AK142&gt;4096,15,IF(AK142&gt;2048,14,IF(AK142&gt;1024,13,IF(AK142&gt;512,12,IF(AK142&gt;256,11,IF(AK142&gt;128,10,IF(AK142&gt;64,9,IF(AK142&gt;32,8,IF(AK142&gt;16,7,IF(AK142&gt;8,6,IF(AK142&gt;4,5,IF(AK142&gt;2,4,IF(AK142&gt;1,3,IF(AK142=1,1,IF(AK142=0,0))))))))))))))),"")</f>
        <v/>
      </c>
      <c r="AL148" s="3"/>
      <c r="AM148" s="4"/>
      <c r="AN148" s="4"/>
      <c r="AO148" s="4"/>
      <c r="AP148" s="4"/>
      <c r="AQ148" s="4"/>
      <c r="AR148" s="61"/>
    </row>
    <row r="149" s="58" customFormat="true" ht="13.8" hidden="false" customHeight="false" outlineLevel="0" collapsed="false">
      <c r="A149" s="104"/>
      <c r="B149" s="57"/>
      <c r="C149" s="58" t="s">
        <v>41</v>
      </c>
      <c r="D149" s="105" t="s">
        <v>287</v>
      </c>
      <c r="E149" s="46" t="str">
        <f aca="false">IF(E137&lt;&gt;"",MAX(E143:E148),"")</f>
        <v/>
      </c>
      <c r="F149" s="46" t="str">
        <f aca="false">IF(F137&lt;&gt;"",MAX(F143:F148),"")</f>
        <v/>
      </c>
      <c r="G149" s="46" t="str">
        <f aca="false">IF(G137&lt;&gt;"",MAX(G143:G148),"")</f>
        <v/>
      </c>
      <c r="H149" s="46" t="str">
        <f aca="false">IF(H137&lt;&gt;"",MAX(H143:H148),"")</f>
        <v/>
      </c>
      <c r="I149" s="46" t="str">
        <f aca="false">IF(I137&lt;&gt;"",MAX(I143:I148),"")</f>
        <v/>
      </c>
      <c r="J149" s="46" t="str">
        <f aca="false">IF(J137&lt;&gt;"",MAX(J143:J148),"")</f>
        <v/>
      </c>
      <c r="K149" s="46" t="str">
        <f aca="false">IF(K137&lt;&gt;"",MAX(K143:K148),"")</f>
        <v/>
      </c>
      <c r="L149" s="46" t="str">
        <f aca="false">IF(L137&lt;&gt;"",MAX(L143:L148),"")</f>
        <v/>
      </c>
      <c r="M149" s="46" t="str">
        <f aca="false">IF(M137&lt;&gt;"",MAX(M143:M148),"")</f>
        <v/>
      </c>
      <c r="N149" s="46" t="str">
        <f aca="false">IF(N137&lt;&gt;"",MAX(N143:N148),"")</f>
        <v/>
      </c>
      <c r="O149" s="46" t="str">
        <f aca="false">IF(O137&lt;&gt;"",MAX(O143:O148),"")</f>
        <v/>
      </c>
      <c r="P149" s="46" t="str">
        <f aca="false">IF(P137&lt;&gt;"",MAX(P143:P148),"")</f>
        <v/>
      </c>
      <c r="Q149" s="46" t="str">
        <f aca="false">IF(Q137&lt;&gt;"",MAX(Q143:Q148),"")</f>
        <v/>
      </c>
      <c r="R149" s="46" t="str">
        <f aca="false">IF(R137&lt;&gt;"",MAX(R143:R148),"")</f>
        <v/>
      </c>
      <c r="S149" s="46" t="str">
        <f aca="false">IF(S137&lt;&gt;"",MAX(S143:S148),"")</f>
        <v/>
      </c>
      <c r="T149" s="46" t="str">
        <f aca="false">IF(T137&lt;&gt;"",MAX(T143:T148),"")</f>
        <v/>
      </c>
      <c r="U149" s="46" t="str">
        <f aca="false">IF(U137&lt;&gt;"",MAX(U143:U148),"")</f>
        <v/>
      </c>
      <c r="V149" s="46" t="str">
        <f aca="false">IF(V137&lt;&gt;"",MAX(V143:V148),"")</f>
        <v/>
      </c>
      <c r="W149" s="46" t="str">
        <f aca="false">IF(W137&lt;&gt;"",MAX(W143:W148),"")</f>
        <v/>
      </c>
      <c r="X149" s="46" t="str">
        <f aca="false">IF(X137&lt;&gt;"",MAX(X143:X148),"")</f>
        <v/>
      </c>
      <c r="Y149" s="46" t="str">
        <f aca="false">IF(Y137&lt;&gt;"",MAX(Y143:Y148),"")</f>
        <v/>
      </c>
      <c r="Z149" s="46" t="str">
        <f aca="false">IF(Z137&lt;&gt;"",MAX(Z143:Z148),"")</f>
        <v/>
      </c>
      <c r="AA149" s="46" t="str">
        <f aca="false">IF(AA137&lt;&gt;"",MAX(AA143:AA148),"")</f>
        <v/>
      </c>
      <c r="AB149" s="46" t="str">
        <f aca="false">IF(AB137&lt;&gt;"",MAX(AB143:AB148),"")</f>
        <v/>
      </c>
      <c r="AC149" s="46" t="str">
        <f aca="false">IF(AC137&lt;&gt;"",MAX(AC143:AC148),"")</f>
        <v/>
      </c>
      <c r="AD149" s="46" t="str">
        <f aca="false">IF(AD137&lt;&gt;"",MAX(AD143:AD148),"")</f>
        <v/>
      </c>
      <c r="AE149" s="46" t="str">
        <f aca="false">IF(AE137&lt;&gt;"",MAX(AE143:AE148),"")</f>
        <v/>
      </c>
      <c r="AF149" s="46" t="str">
        <f aca="false">IF(AF137&lt;&gt;"",MAX(AF143:AF148),"")</f>
        <v/>
      </c>
      <c r="AG149" s="46" t="str">
        <f aca="false">IF(AG137&lt;&gt;"",MAX(AG143:AG148),"")</f>
        <v/>
      </c>
      <c r="AH149" s="46" t="str">
        <f aca="false">IF(AH137&lt;&gt;"",MAX(AH143:AH148),"")</f>
        <v/>
      </c>
      <c r="AI149" s="46" t="str">
        <f aca="false">IF(AI137&lt;&gt;"",MAX(AI143:AI148),"")</f>
        <v/>
      </c>
      <c r="AJ149" s="46" t="str">
        <f aca="false">IF(AJ137&lt;&gt;"",MAX(AJ143:AJ148),"")</f>
        <v/>
      </c>
      <c r="AK149" s="73" t="str">
        <f aca="false">IF(AK137&lt;&gt;"",MAX(AK143:AK148),"")</f>
        <v/>
      </c>
      <c r="AL149" s="3"/>
      <c r="AM149" s="4"/>
      <c r="AN149" s="4"/>
      <c r="AO149" s="4"/>
      <c r="AP149" s="4"/>
      <c r="AQ149" s="4"/>
      <c r="AR149" s="61"/>
    </row>
    <row r="150" s="58" customFormat="true" ht="13.8" hidden="false" customHeight="false" outlineLevel="0" collapsed="false">
      <c r="A150" s="104"/>
      <c r="B150" s="57"/>
      <c r="C150" s="58" t="s">
        <v>42</v>
      </c>
      <c r="D150" s="58" t="s">
        <v>288</v>
      </c>
      <c r="E150" s="43" t="str">
        <f aca="false">IF(E137&lt;&gt;"",IF(E137&gt;130000000,28,IF(E137&gt;64000000,27,IF(E137&gt;320000000,26,IF(E137&gt;16000000,25,IF(E137&gt;8000000,24,IF(E137&gt;4000000,23,IF(E137&gt;2000000,22,IF(E137&gt;1000000,21,IF(E137&gt;500000,20,IF(E137&gt;250000,19,IF(E137&gt;130000,18,IF(E137&gt;64000,17,IF(E137&gt;32000,16,IF(E137&gt;16000,15,IF(E137&gt;8000,14,IF(E137&gt;4000,13,IF(E137&gt;2000,12,IF(E137&gt;1000,11,IF(E137&gt;500,10,IF(E137&gt;250,9,IF(E137&gt;130,8,IF(E137&gt;64,7,IF(E137&gt;32,6,IF(E137&gt;16,5,IF(E137&gt;8,4,IF(E137&gt;4,3,IF(E137&gt;2,2,IF(E137&gt;1,1,IF(E137&gt;0.5,0,IF(E137=0,0)))))))))))))))))))))))))))))),"")</f>
        <v/>
      </c>
      <c r="F150" s="43" t="str">
        <f aca="false">IF(F137&lt;&gt;"",IF(F137&gt;130000000,28,IF(F137&gt;64000000,27,IF(F137&gt;320000000,26,IF(F137&gt;16000000,25,IF(F137&gt;8000000,24,IF(F137&gt;4000000,23,IF(F137&gt;2000000,22,IF(F137&gt;1000000,21,IF(F137&gt;500000,20,IF(F137&gt;250000,19,IF(F137&gt;130000,18,IF(F137&gt;64000,17,IF(F137&gt;32000,16,IF(F137&gt;16000,15,IF(F137&gt;8000,14,IF(F137&gt;4000,13,IF(F137&gt;2000,12,IF(F137&gt;1000,11,IF(F137&gt;500,10,IF(F137&gt;250,9,IF(F137&gt;130,8,IF(F137&gt;64,7,IF(F137&gt;32,6,IF(F137&gt;16,5,IF(F137&gt;8,4,IF(F137&gt;4,3,IF(F137&gt;2,2,IF(F137&gt;1,1,IF(F137&gt;0.5,0,IF(F137=0,0)))))))))))))))))))))))))))))),"")</f>
        <v/>
      </c>
      <c r="G150" s="43" t="str">
        <f aca="false">IF(G137&lt;&gt;"",IF(G137&gt;130000000,28,IF(G137&gt;64000000,27,IF(G137&gt;320000000,26,IF(G137&gt;16000000,25,IF(G137&gt;8000000,24,IF(G137&gt;4000000,23,IF(G137&gt;2000000,22,IF(G137&gt;1000000,21,IF(G137&gt;500000,20,IF(G137&gt;250000,19,IF(G137&gt;130000,18,IF(G137&gt;64000,17,IF(G137&gt;32000,16,IF(G137&gt;16000,15,IF(G137&gt;8000,14,IF(G137&gt;4000,13,IF(G137&gt;2000,12,IF(G137&gt;1000,11,IF(G137&gt;500,10,IF(G137&gt;250,9,IF(G137&gt;130,8,IF(G137&gt;64,7,IF(G137&gt;32,6,IF(G137&gt;16,5,IF(G137&gt;8,4,IF(G137&gt;4,3,IF(G137&gt;2,2,IF(G137&gt;1,1,IF(G137&gt;0.5,0,IF(G137=0,0)))))))))))))))))))))))))))))),"")</f>
        <v/>
      </c>
      <c r="H150" s="43" t="str">
        <f aca="false">IF(H137&lt;&gt;"",IF(H137&gt;130000000,28,IF(H137&gt;64000000,27,IF(H137&gt;320000000,26,IF(H137&gt;16000000,25,IF(H137&gt;8000000,24,IF(H137&gt;4000000,23,IF(H137&gt;2000000,22,IF(H137&gt;1000000,21,IF(H137&gt;500000,20,IF(H137&gt;250000,19,IF(H137&gt;130000,18,IF(H137&gt;64000,17,IF(H137&gt;32000,16,IF(H137&gt;16000,15,IF(H137&gt;8000,14,IF(H137&gt;4000,13,IF(H137&gt;2000,12,IF(H137&gt;1000,11,IF(H137&gt;500,10,IF(H137&gt;250,9,IF(H137&gt;130,8,IF(H137&gt;64,7,IF(H137&gt;32,6,IF(H137&gt;16,5,IF(H137&gt;8,4,IF(H137&gt;4,3,IF(H137&gt;2,2,IF(H137&gt;1,1,IF(H137&gt;0.5,0,IF(H137=0,0)))))))))))))))))))))))))))))),"")</f>
        <v/>
      </c>
      <c r="I150" s="43" t="str">
        <f aca="false">IF(I137&lt;&gt;"",IF(I137&gt;130000000,28,IF(I137&gt;64000000,27,IF(I137&gt;320000000,26,IF(I137&gt;16000000,25,IF(I137&gt;8000000,24,IF(I137&gt;4000000,23,IF(I137&gt;2000000,22,IF(I137&gt;1000000,21,IF(I137&gt;500000,20,IF(I137&gt;250000,19,IF(I137&gt;130000,18,IF(I137&gt;64000,17,IF(I137&gt;32000,16,IF(I137&gt;16000,15,IF(I137&gt;8000,14,IF(I137&gt;4000,13,IF(I137&gt;2000,12,IF(I137&gt;1000,11,IF(I137&gt;500,10,IF(I137&gt;250,9,IF(I137&gt;130,8,IF(I137&gt;64,7,IF(I137&gt;32,6,IF(I137&gt;16,5,IF(I137&gt;8,4,IF(I137&gt;4,3,IF(I137&gt;2,2,IF(I137&gt;1,1,IF(I137&gt;0.5,0,IF(I137=0,0)))))))))))))))))))))))))))))),"")</f>
        <v/>
      </c>
      <c r="J150" s="43" t="str">
        <f aca="false">IF(J137&lt;&gt;"",IF(J137&gt;130000000,28,IF(J137&gt;64000000,27,IF(J137&gt;320000000,26,IF(J137&gt;16000000,25,IF(J137&gt;8000000,24,IF(J137&gt;4000000,23,IF(J137&gt;2000000,22,IF(J137&gt;1000000,21,IF(J137&gt;500000,20,IF(J137&gt;250000,19,IF(J137&gt;130000,18,IF(J137&gt;64000,17,IF(J137&gt;32000,16,IF(J137&gt;16000,15,IF(J137&gt;8000,14,IF(J137&gt;4000,13,IF(J137&gt;2000,12,IF(J137&gt;1000,11,IF(J137&gt;500,10,IF(J137&gt;250,9,IF(J137&gt;130,8,IF(J137&gt;64,7,IF(J137&gt;32,6,IF(J137&gt;16,5,IF(J137&gt;8,4,IF(J137&gt;4,3,IF(J137&gt;2,2,IF(J137&gt;1,1,IF(J137&gt;0.5,0,IF(J137=0,0)))))))))))))))))))))))))))))),"")</f>
        <v/>
      </c>
      <c r="K150" s="43" t="str">
        <f aca="false">IF(K137&lt;&gt;"",IF(K137&gt;130000000,28,IF(K137&gt;64000000,27,IF(K137&gt;320000000,26,IF(K137&gt;16000000,25,IF(K137&gt;8000000,24,IF(K137&gt;4000000,23,IF(K137&gt;2000000,22,IF(K137&gt;1000000,21,IF(K137&gt;500000,20,IF(K137&gt;250000,19,IF(K137&gt;130000,18,IF(K137&gt;64000,17,IF(K137&gt;32000,16,IF(K137&gt;16000,15,IF(K137&gt;8000,14,IF(K137&gt;4000,13,IF(K137&gt;2000,12,IF(K137&gt;1000,11,IF(K137&gt;500,10,IF(K137&gt;250,9,IF(K137&gt;130,8,IF(K137&gt;64,7,IF(K137&gt;32,6,IF(K137&gt;16,5,IF(K137&gt;8,4,IF(K137&gt;4,3,IF(K137&gt;2,2,IF(K137&gt;1,1,IF(K137&gt;0.5,0,IF(K137=0,0)))))))))))))))))))))))))))))),"")</f>
        <v/>
      </c>
      <c r="L150" s="43" t="str">
        <f aca="false">IF(L137&lt;&gt;"",IF(L137&gt;130000000,28,IF(L137&gt;64000000,27,IF(L137&gt;320000000,26,IF(L137&gt;16000000,25,IF(L137&gt;8000000,24,IF(L137&gt;4000000,23,IF(L137&gt;2000000,22,IF(L137&gt;1000000,21,IF(L137&gt;500000,20,IF(L137&gt;250000,19,IF(L137&gt;130000,18,IF(L137&gt;64000,17,IF(L137&gt;32000,16,IF(L137&gt;16000,15,IF(L137&gt;8000,14,IF(L137&gt;4000,13,IF(L137&gt;2000,12,IF(L137&gt;1000,11,IF(L137&gt;500,10,IF(L137&gt;250,9,IF(L137&gt;130,8,IF(L137&gt;64,7,IF(L137&gt;32,6,IF(L137&gt;16,5,IF(L137&gt;8,4,IF(L137&gt;4,3,IF(L137&gt;2,2,IF(L137&gt;1,1,IF(L137&gt;0.5,0,IF(L137=0,0)))))))))))))))))))))))))))))),"")</f>
        <v/>
      </c>
      <c r="M150" s="43" t="str">
        <f aca="false">IF(M137&lt;&gt;"",IF(M137&gt;130000000,28,IF(M137&gt;64000000,27,IF(M137&gt;320000000,26,IF(M137&gt;16000000,25,IF(M137&gt;8000000,24,IF(M137&gt;4000000,23,IF(M137&gt;2000000,22,IF(M137&gt;1000000,21,IF(M137&gt;500000,20,IF(M137&gt;250000,19,IF(M137&gt;130000,18,IF(M137&gt;64000,17,IF(M137&gt;32000,16,IF(M137&gt;16000,15,IF(M137&gt;8000,14,IF(M137&gt;4000,13,IF(M137&gt;2000,12,IF(M137&gt;1000,11,IF(M137&gt;500,10,IF(M137&gt;250,9,IF(M137&gt;130,8,IF(M137&gt;64,7,IF(M137&gt;32,6,IF(M137&gt;16,5,IF(M137&gt;8,4,IF(M137&gt;4,3,IF(M137&gt;2,2,IF(M137&gt;1,1,IF(M137&gt;0.5,0,IF(M137=0,0)))))))))))))))))))))))))))))),"")</f>
        <v/>
      </c>
      <c r="N150" s="43" t="str">
        <f aca="false">IF(N137&lt;&gt;"",IF(N137&gt;130000000,28,IF(N137&gt;64000000,27,IF(N137&gt;320000000,26,IF(N137&gt;16000000,25,IF(N137&gt;8000000,24,IF(N137&gt;4000000,23,IF(N137&gt;2000000,22,IF(N137&gt;1000000,21,IF(N137&gt;500000,20,IF(N137&gt;250000,19,IF(N137&gt;130000,18,IF(N137&gt;64000,17,IF(N137&gt;32000,16,IF(N137&gt;16000,15,IF(N137&gt;8000,14,IF(N137&gt;4000,13,IF(N137&gt;2000,12,IF(N137&gt;1000,11,IF(N137&gt;500,10,IF(N137&gt;250,9,IF(N137&gt;130,8,IF(N137&gt;64,7,IF(N137&gt;32,6,IF(N137&gt;16,5,IF(N137&gt;8,4,IF(N137&gt;4,3,IF(N137&gt;2,2,IF(N137&gt;1,1,IF(N137&gt;0.5,0,IF(N137=0,0)))))))))))))))))))))))))))))),"")</f>
        <v/>
      </c>
      <c r="O150" s="43" t="str">
        <f aca="false">IF(O137&lt;&gt;"",IF(O137&gt;130000000,28,IF(O137&gt;64000000,27,IF(O137&gt;320000000,26,IF(O137&gt;16000000,25,IF(O137&gt;8000000,24,IF(O137&gt;4000000,23,IF(O137&gt;2000000,22,IF(O137&gt;1000000,21,IF(O137&gt;500000,20,IF(O137&gt;250000,19,IF(O137&gt;130000,18,IF(O137&gt;64000,17,IF(O137&gt;32000,16,IF(O137&gt;16000,15,IF(O137&gt;8000,14,IF(O137&gt;4000,13,IF(O137&gt;2000,12,IF(O137&gt;1000,11,IF(O137&gt;500,10,IF(O137&gt;250,9,IF(O137&gt;130,8,IF(O137&gt;64,7,IF(O137&gt;32,6,IF(O137&gt;16,5,IF(O137&gt;8,4,IF(O137&gt;4,3,IF(O137&gt;2,2,IF(O137&gt;1,1,IF(O137&gt;0.5,0,IF(O137=0,0)))))))))))))))))))))))))))))),"")</f>
        <v/>
      </c>
      <c r="P150" s="43" t="str">
        <f aca="false">IF(P137&lt;&gt;"",IF(P137&gt;130000000,28,IF(P137&gt;64000000,27,IF(P137&gt;320000000,26,IF(P137&gt;16000000,25,IF(P137&gt;8000000,24,IF(P137&gt;4000000,23,IF(P137&gt;2000000,22,IF(P137&gt;1000000,21,IF(P137&gt;500000,20,IF(P137&gt;250000,19,IF(P137&gt;130000,18,IF(P137&gt;64000,17,IF(P137&gt;32000,16,IF(P137&gt;16000,15,IF(P137&gt;8000,14,IF(P137&gt;4000,13,IF(P137&gt;2000,12,IF(P137&gt;1000,11,IF(P137&gt;500,10,IF(P137&gt;250,9,IF(P137&gt;130,8,IF(P137&gt;64,7,IF(P137&gt;32,6,IF(P137&gt;16,5,IF(P137&gt;8,4,IF(P137&gt;4,3,IF(P137&gt;2,2,IF(P137&gt;1,1,IF(P137&gt;0.5,0,IF(P137=0,0)))))))))))))))))))))))))))))),"")</f>
        <v/>
      </c>
      <c r="Q150" s="43" t="str">
        <f aca="false">IF(Q137&lt;&gt;"",IF(Q137&gt;130000000,28,IF(Q137&gt;64000000,27,IF(Q137&gt;320000000,26,IF(Q137&gt;16000000,25,IF(Q137&gt;8000000,24,IF(Q137&gt;4000000,23,IF(Q137&gt;2000000,22,IF(Q137&gt;1000000,21,IF(Q137&gt;500000,20,IF(Q137&gt;250000,19,IF(Q137&gt;130000,18,IF(Q137&gt;64000,17,IF(Q137&gt;32000,16,IF(Q137&gt;16000,15,IF(Q137&gt;8000,14,IF(Q137&gt;4000,13,IF(Q137&gt;2000,12,IF(Q137&gt;1000,11,IF(Q137&gt;500,10,IF(Q137&gt;250,9,IF(Q137&gt;130,8,IF(Q137&gt;64,7,IF(Q137&gt;32,6,IF(Q137&gt;16,5,IF(Q137&gt;8,4,IF(Q137&gt;4,3,IF(Q137&gt;2,2,IF(Q137&gt;1,1,IF(Q137&gt;0.5,0,IF(Q137=0,0)))))))))))))))))))))))))))))),"")</f>
        <v/>
      </c>
      <c r="R150" s="43" t="str">
        <f aca="false">IF(R137&lt;&gt;"",IF(R137&gt;130000000,28,IF(R137&gt;64000000,27,IF(R137&gt;320000000,26,IF(R137&gt;16000000,25,IF(R137&gt;8000000,24,IF(R137&gt;4000000,23,IF(R137&gt;2000000,22,IF(R137&gt;1000000,21,IF(R137&gt;500000,20,IF(R137&gt;250000,19,IF(R137&gt;130000,18,IF(R137&gt;64000,17,IF(R137&gt;32000,16,IF(R137&gt;16000,15,IF(R137&gt;8000,14,IF(R137&gt;4000,13,IF(R137&gt;2000,12,IF(R137&gt;1000,11,IF(R137&gt;500,10,IF(R137&gt;250,9,IF(R137&gt;130,8,IF(R137&gt;64,7,IF(R137&gt;32,6,IF(R137&gt;16,5,IF(R137&gt;8,4,IF(R137&gt;4,3,IF(R137&gt;2,2,IF(R137&gt;1,1,IF(R137&gt;0.5,0,IF(R137=0,0)))))))))))))))))))))))))))))),"")</f>
        <v/>
      </c>
      <c r="S150" s="43" t="str">
        <f aca="false">IF(S137&lt;&gt;"",IF(S137&gt;130000000,28,IF(S137&gt;64000000,27,IF(S137&gt;320000000,26,IF(S137&gt;16000000,25,IF(S137&gt;8000000,24,IF(S137&gt;4000000,23,IF(S137&gt;2000000,22,IF(S137&gt;1000000,21,IF(S137&gt;500000,20,IF(S137&gt;250000,19,IF(S137&gt;130000,18,IF(S137&gt;64000,17,IF(S137&gt;32000,16,IF(S137&gt;16000,15,IF(S137&gt;8000,14,IF(S137&gt;4000,13,IF(S137&gt;2000,12,IF(S137&gt;1000,11,IF(S137&gt;500,10,IF(S137&gt;250,9,IF(S137&gt;130,8,IF(S137&gt;64,7,IF(S137&gt;32,6,IF(S137&gt;16,5,IF(S137&gt;8,4,IF(S137&gt;4,3,IF(S137&gt;2,2,IF(S137&gt;1,1,IF(S137&gt;0.5,0,IF(S137=0,0)))))))))))))))))))))))))))))),"")</f>
        <v/>
      </c>
      <c r="T150" s="43" t="str">
        <f aca="false">IF(T137&lt;&gt;"",IF(T137&gt;130000000,28,IF(T137&gt;64000000,27,IF(T137&gt;320000000,26,IF(T137&gt;16000000,25,IF(T137&gt;8000000,24,IF(T137&gt;4000000,23,IF(T137&gt;2000000,22,IF(T137&gt;1000000,21,IF(T137&gt;500000,20,IF(T137&gt;250000,19,IF(T137&gt;130000,18,IF(T137&gt;64000,17,IF(T137&gt;32000,16,IF(T137&gt;16000,15,IF(T137&gt;8000,14,IF(T137&gt;4000,13,IF(T137&gt;2000,12,IF(T137&gt;1000,11,IF(T137&gt;500,10,IF(T137&gt;250,9,IF(T137&gt;130,8,IF(T137&gt;64,7,IF(T137&gt;32,6,IF(T137&gt;16,5,IF(T137&gt;8,4,IF(T137&gt;4,3,IF(T137&gt;2,2,IF(T137&gt;1,1,IF(T137&gt;0.5,0,IF(T137=0,0)))))))))))))))))))))))))))))),"")</f>
        <v/>
      </c>
      <c r="U150" s="43" t="str">
        <f aca="false">IF(U137&lt;&gt;"",IF(U137&gt;130000000,28,IF(U137&gt;64000000,27,IF(U137&gt;320000000,26,IF(U137&gt;16000000,25,IF(U137&gt;8000000,24,IF(U137&gt;4000000,23,IF(U137&gt;2000000,22,IF(U137&gt;1000000,21,IF(U137&gt;500000,20,IF(U137&gt;250000,19,IF(U137&gt;130000,18,IF(U137&gt;64000,17,IF(U137&gt;32000,16,IF(U137&gt;16000,15,IF(U137&gt;8000,14,IF(U137&gt;4000,13,IF(U137&gt;2000,12,IF(U137&gt;1000,11,IF(U137&gt;500,10,IF(U137&gt;250,9,IF(U137&gt;130,8,IF(U137&gt;64,7,IF(U137&gt;32,6,IF(U137&gt;16,5,IF(U137&gt;8,4,IF(U137&gt;4,3,IF(U137&gt;2,2,IF(U137&gt;1,1,IF(U137&gt;0.5,0,IF(U137=0,0)))))))))))))))))))))))))))))),"")</f>
        <v/>
      </c>
      <c r="V150" s="43" t="str">
        <f aca="false">IF(V137&lt;&gt;"",IF(V137&gt;130000000,28,IF(V137&gt;64000000,27,IF(V137&gt;320000000,26,IF(V137&gt;16000000,25,IF(V137&gt;8000000,24,IF(V137&gt;4000000,23,IF(V137&gt;2000000,22,IF(V137&gt;1000000,21,IF(V137&gt;500000,20,IF(V137&gt;250000,19,IF(V137&gt;130000,18,IF(V137&gt;64000,17,IF(V137&gt;32000,16,IF(V137&gt;16000,15,IF(V137&gt;8000,14,IF(V137&gt;4000,13,IF(V137&gt;2000,12,IF(V137&gt;1000,11,IF(V137&gt;500,10,IF(V137&gt;250,9,IF(V137&gt;130,8,IF(V137&gt;64,7,IF(V137&gt;32,6,IF(V137&gt;16,5,IF(V137&gt;8,4,IF(V137&gt;4,3,IF(V137&gt;2,2,IF(V137&gt;1,1,IF(V137&gt;0.5,0,IF(V137=0,0)))))))))))))))))))))))))))))),"")</f>
        <v/>
      </c>
      <c r="W150" s="43" t="str">
        <f aca="false">IF(W137&lt;&gt;"",IF(W137&gt;130000000,28,IF(W137&gt;64000000,27,IF(W137&gt;320000000,26,IF(W137&gt;16000000,25,IF(W137&gt;8000000,24,IF(W137&gt;4000000,23,IF(W137&gt;2000000,22,IF(W137&gt;1000000,21,IF(W137&gt;500000,20,IF(W137&gt;250000,19,IF(W137&gt;130000,18,IF(W137&gt;64000,17,IF(W137&gt;32000,16,IF(W137&gt;16000,15,IF(W137&gt;8000,14,IF(W137&gt;4000,13,IF(W137&gt;2000,12,IF(W137&gt;1000,11,IF(W137&gt;500,10,IF(W137&gt;250,9,IF(W137&gt;130,8,IF(W137&gt;64,7,IF(W137&gt;32,6,IF(W137&gt;16,5,IF(W137&gt;8,4,IF(W137&gt;4,3,IF(W137&gt;2,2,IF(W137&gt;1,1,IF(W137&gt;0.5,0,IF(W137=0,0)))))))))))))))))))))))))))))),"")</f>
        <v/>
      </c>
      <c r="X150" s="43" t="str">
        <f aca="false">IF(X137&lt;&gt;"",IF(X137&gt;130000000,28,IF(X137&gt;64000000,27,IF(X137&gt;320000000,26,IF(X137&gt;16000000,25,IF(X137&gt;8000000,24,IF(X137&gt;4000000,23,IF(X137&gt;2000000,22,IF(X137&gt;1000000,21,IF(X137&gt;500000,20,IF(X137&gt;250000,19,IF(X137&gt;130000,18,IF(X137&gt;64000,17,IF(X137&gt;32000,16,IF(X137&gt;16000,15,IF(X137&gt;8000,14,IF(X137&gt;4000,13,IF(X137&gt;2000,12,IF(X137&gt;1000,11,IF(X137&gt;500,10,IF(X137&gt;250,9,IF(X137&gt;130,8,IF(X137&gt;64,7,IF(X137&gt;32,6,IF(X137&gt;16,5,IF(X137&gt;8,4,IF(X137&gt;4,3,IF(X137&gt;2,2,IF(X137&gt;1,1,IF(X137&gt;0.5,0,IF(X137=0,0)))))))))))))))))))))))))))))),"")</f>
        <v/>
      </c>
      <c r="Y150" s="43" t="str">
        <f aca="false">IF(Y137&lt;&gt;"",IF(Y137&gt;130000000,28,IF(Y137&gt;64000000,27,IF(Y137&gt;320000000,26,IF(Y137&gt;16000000,25,IF(Y137&gt;8000000,24,IF(Y137&gt;4000000,23,IF(Y137&gt;2000000,22,IF(Y137&gt;1000000,21,IF(Y137&gt;500000,20,IF(Y137&gt;250000,19,IF(Y137&gt;130000,18,IF(Y137&gt;64000,17,IF(Y137&gt;32000,16,IF(Y137&gt;16000,15,IF(Y137&gt;8000,14,IF(Y137&gt;4000,13,IF(Y137&gt;2000,12,IF(Y137&gt;1000,11,IF(Y137&gt;500,10,IF(Y137&gt;250,9,IF(Y137&gt;130,8,IF(Y137&gt;64,7,IF(Y137&gt;32,6,IF(Y137&gt;16,5,IF(Y137&gt;8,4,IF(Y137&gt;4,3,IF(Y137&gt;2,2,IF(Y137&gt;1,1,IF(Y137&gt;0.5,0,IF(Y137=0,0)))))))))))))))))))))))))))))),"")</f>
        <v/>
      </c>
      <c r="Z150" s="43" t="str">
        <f aca="false">IF(Z137&lt;&gt;"",IF(Z137&gt;130000000,28,IF(Z137&gt;64000000,27,IF(Z137&gt;320000000,26,IF(Z137&gt;16000000,25,IF(Z137&gt;8000000,24,IF(Z137&gt;4000000,23,IF(Z137&gt;2000000,22,IF(Z137&gt;1000000,21,IF(Z137&gt;500000,20,IF(Z137&gt;250000,19,IF(Z137&gt;130000,18,IF(Z137&gt;64000,17,IF(Z137&gt;32000,16,IF(Z137&gt;16000,15,IF(Z137&gt;8000,14,IF(Z137&gt;4000,13,IF(Z137&gt;2000,12,IF(Z137&gt;1000,11,IF(Z137&gt;500,10,IF(Z137&gt;250,9,IF(Z137&gt;130,8,IF(Z137&gt;64,7,IF(Z137&gt;32,6,IF(Z137&gt;16,5,IF(Z137&gt;8,4,IF(Z137&gt;4,3,IF(Z137&gt;2,2,IF(Z137&gt;1,1,IF(Z137&gt;0.5,0,IF(Z137=0,0)))))))))))))))))))))))))))))),"")</f>
        <v/>
      </c>
      <c r="AA150" s="43" t="str">
        <f aca="false">IF(AA137&lt;&gt;"",IF(AA137&gt;130000000,28,IF(AA137&gt;64000000,27,IF(AA137&gt;320000000,26,IF(AA137&gt;16000000,25,IF(AA137&gt;8000000,24,IF(AA137&gt;4000000,23,IF(AA137&gt;2000000,22,IF(AA137&gt;1000000,21,IF(AA137&gt;500000,20,IF(AA137&gt;250000,19,IF(AA137&gt;130000,18,IF(AA137&gt;64000,17,IF(AA137&gt;32000,16,IF(AA137&gt;16000,15,IF(AA137&gt;8000,14,IF(AA137&gt;4000,13,IF(AA137&gt;2000,12,IF(AA137&gt;1000,11,IF(AA137&gt;500,10,IF(AA137&gt;250,9,IF(AA137&gt;130,8,IF(AA137&gt;64,7,IF(AA137&gt;32,6,IF(AA137&gt;16,5,IF(AA137&gt;8,4,IF(AA137&gt;4,3,IF(AA137&gt;2,2,IF(AA137&gt;1,1,IF(AA137&gt;0.5,0,IF(AA137=0,0)))))))))))))))))))))))))))))),"")</f>
        <v/>
      </c>
      <c r="AB150" s="43" t="str">
        <f aca="false">IF(AB137&lt;&gt;"",IF(AB137&gt;130000000,28,IF(AB137&gt;64000000,27,IF(AB137&gt;320000000,26,IF(AB137&gt;16000000,25,IF(AB137&gt;8000000,24,IF(AB137&gt;4000000,23,IF(AB137&gt;2000000,22,IF(AB137&gt;1000000,21,IF(AB137&gt;500000,20,IF(AB137&gt;250000,19,IF(AB137&gt;130000,18,IF(AB137&gt;64000,17,IF(AB137&gt;32000,16,IF(AB137&gt;16000,15,IF(AB137&gt;8000,14,IF(AB137&gt;4000,13,IF(AB137&gt;2000,12,IF(AB137&gt;1000,11,IF(AB137&gt;500,10,IF(AB137&gt;250,9,IF(AB137&gt;130,8,IF(AB137&gt;64,7,IF(AB137&gt;32,6,IF(AB137&gt;16,5,IF(AB137&gt;8,4,IF(AB137&gt;4,3,IF(AB137&gt;2,2,IF(AB137&gt;1,1,IF(AB137&gt;0.5,0,IF(AB137=0,0)))))))))))))))))))))))))))))),"")</f>
        <v/>
      </c>
      <c r="AC150" s="43" t="str">
        <f aca="false">IF(AC137&lt;&gt;"",IF(AC137&gt;130000000,28,IF(AC137&gt;64000000,27,IF(AC137&gt;320000000,26,IF(AC137&gt;16000000,25,IF(AC137&gt;8000000,24,IF(AC137&gt;4000000,23,IF(AC137&gt;2000000,22,IF(AC137&gt;1000000,21,IF(AC137&gt;500000,20,IF(AC137&gt;250000,19,IF(AC137&gt;130000,18,IF(AC137&gt;64000,17,IF(AC137&gt;32000,16,IF(AC137&gt;16000,15,IF(AC137&gt;8000,14,IF(AC137&gt;4000,13,IF(AC137&gt;2000,12,IF(AC137&gt;1000,11,IF(AC137&gt;500,10,IF(AC137&gt;250,9,IF(AC137&gt;130,8,IF(AC137&gt;64,7,IF(AC137&gt;32,6,IF(AC137&gt;16,5,IF(AC137&gt;8,4,IF(AC137&gt;4,3,IF(AC137&gt;2,2,IF(AC137&gt;1,1,IF(AC137&gt;0.5,0,IF(AC137=0,0)))))))))))))))))))))))))))))),"")</f>
        <v/>
      </c>
      <c r="AD150" s="43" t="str">
        <f aca="false">IF(AD137&lt;&gt;"",IF(AD137&gt;130000000,28,IF(AD137&gt;64000000,27,IF(AD137&gt;320000000,26,IF(AD137&gt;16000000,25,IF(AD137&gt;8000000,24,IF(AD137&gt;4000000,23,IF(AD137&gt;2000000,22,IF(AD137&gt;1000000,21,IF(AD137&gt;500000,20,IF(AD137&gt;250000,19,IF(AD137&gt;130000,18,IF(AD137&gt;64000,17,IF(AD137&gt;32000,16,IF(AD137&gt;16000,15,IF(AD137&gt;8000,14,IF(AD137&gt;4000,13,IF(AD137&gt;2000,12,IF(AD137&gt;1000,11,IF(AD137&gt;500,10,IF(AD137&gt;250,9,IF(AD137&gt;130,8,IF(AD137&gt;64,7,IF(AD137&gt;32,6,IF(AD137&gt;16,5,IF(AD137&gt;8,4,IF(AD137&gt;4,3,IF(AD137&gt;2,2,IF(AD137&gt;1,1,IF(AD137&gt;0.5,0,IF(AD137=0,0)))))))))))))))))))))))))))))),"")</f>
        <v/>
      </c>
      <c r="AE150" s="43" t="str">
        <f aca="false">IF(AE137&lt;&gt;"",IF(AE137&gt;130000000,28,IF(AE137&gt;64000000,27,IF(AE137&gt;320000000,26,IF(AE137&gt;16000000,25,IF(AE137&gt;8000000,24,IF(AE137&gt;4000000,23,IF(AE137&gt;2000000,22,IF(AE137&gt;1000000,21,IF(AE137&gt;500000,20,IF(AE137&gt;250000,19,IF(AE137&gt;130000,18,IF(AE137&gt;64000,17,IF(AE137&gt;32000,16,IF(AE137&gt;16000,15,IF(AE137&gt;8000,14,IF(AE137&gt;4000,13,IF(AE137&gt;2000,12,IF(AE137&gt;1000,11,IF(AE137&gt;500,10,IF(AE137&gt;250,9,IF(AE137&gt;130,8,IF(AE137&gt;64,7,IF(AE137&gt;32,6,IF(AE137&gt;16,5,IF(AE137&gt;8,4,IF(AE137&gt;4,3,IF(AE137&gt;2,2,IF(AE137&gt;1,1,IF(AE137&gt;0.5,0,IF(AE137=0,0)))))))))))))))))))))))))))))),"")</f>
        <v/>
      </c>
      <c r="AF150" s="43" t="str">
        <f aca="false">IF(AF137&lt;&gt;"",IF(AF137&gt;130000000,28,IF(AF137&gt;64000000,27,IF(AF137&gt;320000000,26,IF(AF137&gt;16000000,25,IF(AF137&gt;8000000,24,IF(AF137&gt;4000000,23,IF(AF137&gt;2000000,22,IF(AF137&gt;1000000,21,IF(AF137&gt;500000,20,IF(AF137&gt;250000,19,IF(AF137&gt;130000,18,IF(AF137&gt;64000,17,IF(AF137&gt;32000,16,IF(AF137&gt;16000,15,IF(AF137&gt;8000,14,IF(AF137&gt;4000,13,IF(AF137&gt;2000,12,IF(AF137&gt;1000,11,IF(AF137&gt;500,10,IF(AF137&gt;250,9,IF(AF137&gt;130,8,IF(AF137&gt;64,7,IF(AF137&gt;32,6,IF(AF137&gt;16,5,IF(AF137&gt;8,4,IF(AF137&gt;4,3,IF(AF137&gt;2,2,IF(AF137&gt;1,1,IF(AF137&gt;0.5,0,IF(AF137=0,0)))))))))))))))))))))))))))))),"")</f>
        <v/>
      </c>
      <c r="AG150" s="43" t="str">
        <f aca="false">IF(AG137&lt;&gt;"",IF(AG137&gt;130000000,28,IF(AG137&gt;64000000,27,IF(AG137&gt;320000000,26,IF(AG137&gt;16000000,25,IF(AG137&gt;8000000,24,IF(AG137&gt;4000000,23,IF(AG137&gt;2000000,22,IF(AG137&gt;1000000,21,IF(AG137&gt;500000,20,IF(AG137&gt;250000,19,IF(AG137&gt;130000,18,IF(AG137&gt;64000,17,IF(AG137&gt;32000,16,IF(AG137&gt;16000,15,IF(AG137&gt;8000,14,IF(AG137&gt;4000,13,IF(AG137&gt;2000,12,IF(AG137&gt;1000,11,IF(AG137&gt;500,10,IF(AG137&gt;250,9,IF(AG137&gt;130,8,IF(AG137&gt;64,7,IF(AG137&gt;32,6,IF(AG137&gt;16,5,IF(AG137&gt;8,4,IF(AG137&gt;4,3,IF(AG137&gt;2,2,IF(AG137&gt;1,1,IF(AG137&gt;0.5,0,IF(AG137=0,0)))))))))))))))))))))))))))))),"")</f>
        <v/>
      </c>
      <c r="AH150" s="43" t="str">
        <f aca="false">IF(AH137&lt;&gt;"",IF(AH137&gt;130000000,28,IF(AH137&gt;64000000,27,IF(AH137&gt;320000000,26,IF(AH137&gt;16000000,25,IF(AH137&gt;8000000,24,IF(AH137&gt;4000000,23,IF(AH137&gt;2000000,22,IF(AH137&gt;1000000,21,IF(AH137&gt;500000,20,IF(AH137&gt;250000,19,IF(AH137&gt;130000,18,IF(AH137&gt;64000,17,IF(AH137&gt;32000,16,IF(AH137&gt;16000,15,IF(AH137&gt;8000,14,IF(AH137&gt;4000,13,IF(AH137&gt;2000,12,IF(AH137&gt;1000,11,IF(AH137&gt;500,10,IF(AH137&gt;250,9,IF(AH137&gt;130,8,IF(AH137&gt;64,7,IF(AH137&gt;32,6,IF(AH137&gt;16,5,IF(AH137&gt;8,4,IF(AH137&gt;4,3,IF(AH137&gt;2,2,IF(AH137&gt;1,1,IF(AH137&gt;0.5,0,IF(AH137=0,0)))))))))))))))))))))))))))))),"")</f>
        <v/>
      </c>
      <c r="AI150" s="43" t="str">
        <f aca="false">IF(AI137&lt;&gt;"",IF(AI137&gt;130000000,28,IF(AI137&gt;64000000,27,IF(AI137&gt;320000000,26,IF(AI137&gt;16000000,25,IF(AI137&gt;8000000,24,IF(AI137&gt;4000000,23,IF(AI137&gt;2000000,22,IF(AI137&gt;1000000,21,IF(AI137&gt;500000,20,IF(AI137&gt;250000,19,IF(AI137&gt;130000,18,IF(AI137&gt;64000,17,IF(AI137&gt;32000,16,IF(AI137&gt;16000,15,IF(AI137&gt;8000,14,IF(AI137&gt;4000,13,IF(AI137&gt;2000,12,IF(AI137&gt;1000,11,IF(AI137&gt;500,10,IF(AI137&gt;250,9,IF(AI137&gt;130,8,IF(AI137&gt;64,7,IF(AI137&gt;32,6,IF(AI137&gt;16,5,IF(AI137&gt;8,4,IF(AI137&gt;4,3,IF(AI137&gt;2,2,IF(AI137&gt;1,1,IF(AI137&gt;0.5,0,IF(AI137=0,0)))))))))))))))))))))))))))))),"")</f>
        <v/>
      </c>
      <c r="AJ150" s="43" t="str">
        <f aca="false">IF(AJ137&lt;&gt;"",IF(AJ137&gt;130000000,28,IF(AJ137&gt;64000000,27,IF(AJ137&gt;320000000,26,IF(AJ137&gt;16000000,25,IF(AJ137&gt;8000000,24,IF(AJ137&gt;4000000,23,IF(AJ137&gt;2000000,22,IF(AJ137&gt;1000000,21,IF(AJ137&gt;500000,20,IF(AJ137&gt;250000,19,IF(AJ137&gt;130000,18,IF(AJ137&gt;64000,17,IF(AJ137&gt;32000,16,IF(AJ137&gt;16000,15,IF(AJ137&gt;8000,14,IF(AJ137&gt;4000,13,IF(AJ137&gt;2000,12,IF(AJ137&gt;1000,11,IF(AJ137&gt;500,10,IF(AJ137&gt;250,9,IF(AJ137&gt;130,8,IF(AJ137&gt;64,7,IF(AJ137&gt;32,6,IF(AJ137&gt;16,5,IF(AJ137&gt;8,4,IF(AJ137&gt;4,3,IF(AJ137&gt;2,2,IF(AJ137&gt;1,1,IF(AJ137&gt;0.5,0,IF(AJ137=0,0)))))))))))))))))))))))))))))),"")</f>
        <v/>
      </c>
      <c r="AK150" s="44" t="str">
        <f aca="false">IF(AK137&lt;&gt;"",IF(AK137&gt;130000000,28,IF(AK137&gt;64000000,27,IF(AK137&gt;320000000,26,IF(AK137&gt;16000000,25,IF(AK137&gt;8000000,24,IF(AK137&gt;4000000,23,IF(AK137&gt;2000000,22,IF(AK137&gt;1000000,21,IF(AK137&gt;500000,20,IF(AK137&gt;250000,19,IF(AK137&gt;130000,18,IF(AK137&gt;64000,17,IF(AK137&gt;32000,16,IF(AK137&gt;16000,15,IF(AK137&gt;8000,14,IF(AK137&gt;4000,13,IF(AK137&gt;2000,12,IF(AK137&gt;1000,11,IF(AK137&gt;500,10,IF(AK137&gt;250,9,IF(AK137&gt;130,8,IF(AK137&gt;64,7,IF(AK137&gt;32,6,IF(AK137&gt;16,5,IF(AK137&gt;8,4,IF(AK137&gt;4,3,IF(AK137&gt;2,2,IF(AK137&gt;1,1,IF(AK137&gt;0.5,0,IF(AK137=0,0)))))))))))))))))))))))))))))),"")</f>
        <v/>
      </c>
      <c r="AL150" s="3"/>
      <c r="AM150" s="4"/>
      <c r="AN150" s="4"/>
      <c r="AO150" s="4"/>
      <c r="AP150" s="4"/>
      <c r="AQ150" s="4"/>
      <c r="AR150" s="61"/>
    </row>
    <row r="151" s="58" customFormat="true" ht="13.8" hidden="false" customHeight="false" outlineLevel="0" collapsed="false">
      <c r="A151" s="104"/>
      <c r="B151" s="57"/>
      <c r="C151" s="58" t="s">
        <v>44</v>
      </c>
      <c r="D151" s="58" t="s">
        <v>289</v>
      </c>
      <c r="E151" s="43" t="str">
        <f aca="false">IF(E138&lt;&gt;"",IF(E138&gt;130000000,28,IF(E138&gt;64000000,27,IF(E138&gt;320000000,26,IF(E138&gt;16000000,25,IF(E138&gt;8000000,24,IF(E138&gt;4000000,23,IF(E138&gt;2000000,22,IF(E138&gt;1000000,21,IF(E138&gt;500000,20,IF(E138&gt;250000,19,IF(E138&gt;130000,18,IF(E138&gt;64000,17,IF(E138&gt;32000,16,IF(E138&gt;16000,15,IF(E138&gt;8000,14,IF(E138&gt;4000,13,IF(E138&gt;2000,12,IF(E138&gt;1000,11,IF(E138&gt;500,10,IF(E138&gt;250,9,IF(E138&gt;130,8,IF(E138&gt;64,7,IF(E138&gt;32,6,IF(E138&gt;16,5,IF(E138&gt;8,4,IF(E138&gt;4,3,IF(E138&gt;2,2,IF(E138&gt;1,1,IF(E138&gt;0.5,0,IF(E138=0,0)))))))))))))))))))))))))))))),"")</f>
        <v/>
      </c>
      <c r="F151" s="43" t="str">
        <f aca="false">IF(F138&lt;&gt;"",IF(F138&gt;130000000,28,IF(F138&gt;64000000,27,IF(F138&gt;320000000,26,IF(F138&gt;16000000,25,IF(F138&gt;8000000,24,IF(F138&gt;4000000,23,IF(F138&gt;2000000,22,IF(F138&gt;1000000,21,IF(F138&gt;500000,20,IF(F138&gt;250000,19,IF(F138&gt;130000,18,IF(F138&gt;64000,17,IF(F138&gt;32000,16,IF(F138&gt;16000,15,IF(F138&gt;8000,14,IF(F138&gt;4000,13,IF(F138&gt;2000,12,IF(F138&gt;1000,11,IF(F138&gt;500,10,IF(F138&gt;250,9,IF(F138&gt;130,8,IF(F138&gt;64,7,IF(F138&gt;32,6,IF(F138&gt;16,5,IF(F138&gt;8,4,IF(F138&gt;4,3,IF(F138&gt;2,2,IF(F138&gt;1,1,IF(F138&gt;0.5,0,IF(F138=0,0)))))))))))))))))))))))))))))),"")</f>
        <v/>
      </c>
      <c r="G151" s="43" t="str">
        <f aca="false">IF(G138&lt;&gt;"",IF(G138&gt;130000000,28,IF(G138&gt;64000000,27,IF(G138&gt;320000000,26,IF(G138&gt;16000000,25,IF(G138&gt;8000000,24,IF(G138&gt;4000000,23,IF(G138&gt;2000000,22,IF(G138&gt;1000000,21,IF(G138&gt;500000,20,IF(G138&gt;250000,19,IF(G138&gt;130000,18,IF(G138&gt;64000,17,IF(G138&gt;32000,16,IF(G138&gt;16000,15,IF(G138&gt;8000,14,IF(G138&gt;4000,13,IF(G138&gt;2000,12,IF(G138&gt;1000,11,IF(G138&gt;500,10,IF(G138&gt;250,9,IF(G138&gt;130,8,IF(G138&gt;64,7,IF(G138&gt;32,6,IF(G138&gt;16,5,IF(G138&gt;8,4,IF(G138&gt;4,3,IF(G138&gt;2,2,IF(G138&gt;1,1,IF(G138&gt;0.5,0,IF(G138=0,0)))))))))))))))))))))))))))))),"")</f>
        <v/>
      </c>
      <c r="H151" s="43" t="str">
        <f aca="false">IF(H138&lt;&gt;"",IF(H138&gt;130000000,28,IF(H138&gt;64000000,27,IF(H138&gt;320000000,26,IF(H138&gt;16000000,25,IF(H138&gt;8000000,24,IF(H138&gt;4000000,23,IF(H138&gt;2000000,22,IF(H138&gt;1000000,21,IF(H138&gt;500000,20,IF(H138&gt;250000,19,IF(H138&gt;130000,18,IF(H138&gt;64000,17,IF(H138&gt;32000,16,IF(H138&gt;16000,15,IF(H138&gt;8000,14,IF(H138&gt;4000,13,IF(H138&gt;2000,12,IF(H138&gt;1000,11,IF(H138&gt;500,10,IF(H138&gt;250,9,IF(H138&gt;130,8,IF(H138&gt;64,7,IF(H138&gt;32,6,IF(H138&gt;16,5,IF(H138&gt;8,4,IF(H138&gt;4,3,IF(H138&gt;2,2,IF(H138&gt;1,1,IF(H138&gt;0.5,0,IF(H138=0,0)))))))))))))))))))))))))))))),"")</f>
        <v/>
      </c>
      <c r="I151" s="43" t="str">
        <f aca="false">IF(I138&lt;&gt;"",IF(I138&gt;130000000,28,IF(I138&gt;64000000,27,IF(I138&gt;320000000,26,IF(I138&gt;16000000,25,IF(I138&gt;8000000,24,IF(I138&gt;4000000,23,IF(I138&gt;2000000,22,IF(I138&gt;1000000,21,IF(I138&gt;500000,20,IF(I138&gt;250000,19,IF(I138&gt;130000,18,IF(I138&gt;64000,17,IF(I138&gt;32000,16,IF(I138&gt;16000,15,IF(I138&gt;8000,14,IF(I138&gt;4000,13,IF(I138&gt;2000,12,IF(I138&gt;1000,11,IF(I138&gt;500,10,IF(I138&gt;250,9,IF(I138&gt;130,8,IF(I138&gt;64,7,IF(I138&gt;32,6,IF(I138&gt;16,5,IF(I138&gt;8,4,IF(I138&gt;4,3,IF(I138&gt;2,2,IF(I138&gt;1,1,IF(I138&gt;0.5,0,IF(I138=0,0)))))))))))))))))))))))))))))),"")</f>
        <v/>
      </c>
      <c r="J151" s="43" t="str">
        <f aca="false">IF(J138&lt;&gt;"",IF(J138&gt;130000000,28,IF(J138&gt;64000000,27,IF(J138&gt;320000000,26,IF(J138&gt;16000000,25,IF(J138&gt;8000000,24,IF(J138&gt;4000000,23,IF(J138&gt;2000000,22,IF(J138&gt;1000000,21,IF(J138&gt;500000,20,IF(J138&gt;250000,19,IF(J138&gt;130000,18,IF(J138&gt;64000,17,IF(J138&gt;32000,16,IF(J138&gt;16000,15,IF(J138&gt;8000,14,IF(J138&gt;4000,13,IF(J138&gt;2000,12,IF(J138&gt;1000,11,IF(J138&gt;500,10,IF(J138&gt;250,9,IF(J138&gt;130,8,IF(J138&gt;64,7,IF(J138&gt;32,6,IF(J138&gt;16,5,IF(J138&gt;8,4,IF(J138&gt;4,3,IF(J138&gt;2,2,IF(J138&gt;1,1,IF(J138&gt;0.5,0,IF(J138=0,0)))))))))))))))))))))))))))))),"")</f>
        <v/>
      </c>
      <c r="K151" s="43" t="str">
        <f aca="false">IF(K138&lt;&gt;"",IF(K138&gt;130000000,28,IF(K138&gt;64000000,27,IF(K138&gt;320000000,26,IF(K138&gt;16000000,25,IF(K138&gt;8000000,24,IF(K138&gt;4000000,23,IF(K138&gt;2000000,22,IF(K138&gt;1000000,21,IF(K138&gt;500000,20,IF(K138&gt;250000,19,IF(K138&gt;130000,18,IF(K138&gt;64000,17,IF(K138&gt;32000,16,IF(K138&gt;16000,15,IF(K138&gt;8000,14,IF(K138&gt;4000,13,IF(K138&gt;2000,12,IF(K138&gt;1000,11,IF(K138&gt;500,10,IF(K138&gt;250,9,IF(K138&gt;130,8,IF(K138&gt;64,7,IF(K138&gt;32,6,IF(K138&gt;16,5,IF(K138&gt;8,4,IF(K138&gt;4,3,IF(K138&gt;2,2,IF(K138&gt;1,1,IF(K138&gt;0.5,0,IF(K138=0,0)))))))))))))))))))))))))))))),"")</f>
        <v/>
      </c>
      <c r="L151" s="43" t="str">
        <f aca="false">IF(L138&lt;&gt;"",IF(L138&gt;130000000,28,IF(L138&gt;64000000,27,IF(L138&gt;320000000,26,IF(L138&gt;16000000,25,IF(L138&gt;8000000,24,IF(L138&gt;4000000,23,IF(L138&gt;2000000,22,IF(L138&gt;1000000,21,IF(L138&gt;500000,20,IF(L138&gt;250000,19,IF(L138&gt;130000,18,IF(L138&gt;64000,17,IF(L138&gt;32000,16,IF(L138&gt;16000,15,IF(L138&gt;8000,14,IF(L138&gt;4000,13,IF(L138&gt;2000,12,IF(L138&gt;1000,11,IF(L138&gt;500,10,IF(L138&gt;250,9,IF(L138&gt;130,8,IF(L138&gt;64,7,IF(L138&gt;32,6,IF(L138&gt;16,5,IF(L138&gt;8,4,IF(L138&gt;4,3,IF(L138&gt;2,2,IF(L138&gt;1,1,IF(L138&gt;0.5,0,IF(L138=0,0)))))))))))))))))))))))))))))),"")</f>
        <v/>
      </c>
      <c r="M151" s="43" t="str">
        <f aca="false">IF(M138&lt;&gt;"",IF(M138&gt;130000000,28,IF(M138&gt;64000000,27,IF(M138&gt;320000000,26,IF(M138&gt;16000000,25,IF(M138&gt;8000000,24,IF(M138&gt;4000000,23,IF(M138&gt;2000000,22,IF(M138&gt;1000000,21,IF(M138&gt;500000,20,IF(M138&gt;250000,19,IF(M138&gt;130000,18,IF(M138&gt;64000,17,IF(M138&gt;32000,16,IF(M138&gt;16000,15,IF(M138&gt;8000,14,IF(M138&gt;4000,13,IF(M138&gt;2000,12,IF(M138&gt;1000,11,IF(M138&gt;500,10,IF(M138&gt;250,9,IF(M138&gt;130,8,IF(M138&gt;64,7,IF(M138&gt;32,6,IF(M138&gt;16,5,IF(M138&gt;8,4,IF(M138&gt;4,3,IF(M138&gt;2,2,IF(M138&gt;1,1,IF(M138&gt;0.5,0,IF(M138=0,0)))))))))))))))))))))))))))))),"")</f>
        <v/>
      </c>
      <c r="N151" s="43" t="str">
        <f aca="false">IF(N138&lt;&gt;"",IF(N138&gt;130000000,28,IF(N138&gt;64000000,27,IF(N138&gt;320000000,26,IF(N138&gt;16000000,25,IF(N138&gt;8000000,24,IF(N138&gt;4000000,23,IF(N138&gt;2000000,22,IF(N138&gt;1000000,21,IF(N138&gt;500000,20,IF(N138&gt;250000,19,IF(N138&gt;130000,18,IF(N138&gt;64000,17,IF(N138&gt;32000,16,IF(N138&gt;16000,15,IF(N138&gt;8000,14,IF(N138&gt;4000,13,IF(N138&gt;2000,12,IF(N138&gt;1000,11,IF(N138&gt;500,10,IF(N138&gt;250,9,IF(N138&gt;130,8,IF(N138&gt;64,7,IF(N138&gt;32,6,IF(N138&gt;16,5,IF(N138&gt;8,4,IF(N138&gt;4,3,IF(N138&gt;2,2,IF(N138&gt;1,1,IF(N138&gt;0.5,0,IF(N138=0,0)))))))))))))))))))))))))))))),"")</f>
        <v/>
      </c>
      <c r="O151" s="43" t="str">
        <f aca="false">IF(O138&lt;&gt;"",IF(O138&gt;130000000,28,IF(O138&gt;64000000,27,IF(O138&gt;320000000,26,IF(O138&gt;16000000,25,IF(O138&gt;8000000,24,IF(O138&gt;4000000,23,IF(O138&gt;2000000,22,IF(O138&gt;1000000,21,IF(O138&gt;500000,20,IF(O138&gt;250000,19,IF(O138&gt;130000,18,IF(O138&gt;64000,17,IF(O138&gt;32000,16,IF(O138&gt;16000,15,IF(O138&gt;8000,14,IF(O138&gt;4000,13,IF(O138&gt;2000,12,IF(O138&gt;1000,11,IF(O138&gt;500,10,IF(O138&gt;250,9,IF(O138&gt;130,8,IF(O138&gt;64,7,IF(O138&gt;32,6,IF(O138&gt;16,5,IF(O138&gt;8,4,IF(O138&gt;4,3,IF(O138&gt;2,2,IF(O138&gt;1,1,IF(O138&gt;0.5,0,IF(O138=0,0)))))))))))))))))))))))))))))),"")</f>
        <v/>
      </c>
      <c r="P151" s="43" t="str">
        <f aca="false">IF(P138&lt;&gt;"",IF(P138&gt;130000000,28,IF(P138&gt;64000000,27,IF(P138&gt;320000000,26,IF(P138&gt;16000000,25,IF(P138&gt;8000000,24,IF(P138&gt;4000000,23,IF(P138&gt;2000000,22,IF(P138&gt;1000000,21,IF(P138&gt;500000,20,IF(P138&gt;250000,19,IF(P138&gt;130000,18,IF(P138&gt;64000,17,IF(P138&gt;32000,16,IF(P138&gt;16000,15,IF(P138&gt;8000,14,IF(P138&gt;4000,13,IF(P138&gt;2000,12,IF(P138&gt;1000,11,IF(P138&gt;500,10,IF(P138&gt;250,9,IF(P138&gt;130,8,IF(P138&gt;64,7,IF(P138&gt;32,6,IF(P138&gt;16,5,IF(P138&gt;8,4,IF(P138&gt;4,3,IF(P138&gt;2,2,IF(P138&gt;1,1,IF(P138&gt;0.5,0,IF(P138=0,0)))))))))))))))))))))))))))))),"")</f>
        <v/>
      </c>
      <c r="Q151" s="43" t="str">
        <f aca="false">IF(Q138&lt;&gt;"",IF(Q138&gt;130000000,28,IF(Q138&gt;64000000,27,IF(Q138&gt;320000000,26,IF(Q138&gt;16000000,25,IF(Q138&gt;8000000,24,IF(Q138&gt;4000000,23,IF(Q138&gt;2000000,22,IF(Q138&gt;1000000,21,IF(Q138&gt;500000,20,IF(Q138&gt;250000,19,IF(Q138&gt;130000,18,IF(Q138&gt;64000,17,IF(Q138&gt;32000,16,IF(Q138&gt;16000,15,IF(Q138&gt;8000,14,IF(Q138&gt;4000,13,IF(Q138&gt;2000,12,IF(Q138&gt;1000,11,IF(Q138&gt;500,10,IF(Q138&gt;250,9,IF(Q138&gt;130,8,IF(Q138&gt;64,7,IF(Q138&gt;32,6,IF(Q138&gt;16,5,IF(Q138&gt;8,4,IF(Q138&gt;4,3,IF(Q138&gt;2,2,IF(Q138&gt;1,1,IF(Q138&gt;0.5,0,IF(Q138=0,0)))))))))))))))))))))))))))))),"")</f>
        <v/>
      </c>
      <c r="R151" s="43" t="str">
        <f aca="false">IF(R138&lt;&gt;"",IF(R138&gt;130000000,28,IF(R138&gt;64000000,27,IF(R138&gt;320000000,26,IF(R138&gt;16000000,25,IF(R138&gt;8000000,24,IF(R138&gt;4000000,23,IF(R138&gt;2000000,22,IF(R138&gt;1000000,21,IF(R138&gt;500000,20,IF(R138&gt;250000,19,IF(R138&gt;130000,18,IF(R138&gt;64000,17,IF(R138&gt;32000,16,IF(R138&gt;16000,15,IF(R138&gt;8000,14,IF(R138&gt;4000,13,IF(R138&gt;2000,12,IF(R138&gt;1000,11,IF(R138&gt;500,10,IF(R138&gt;250,9,IF(R138&gt;130,8,IF(R138&gt;64,7,IF(R138&gt;32,6,IF(R138&gt;16,5,IF(R138&gt;8,4,IF(R138&gt;4,3,IF(R138&gt;2,2,IF(R138&gt;1,1,IF(R138&gt;0.5,0,IF(R138=0,0)))))))))))))))))))))))))))))),"")</f>
        <v/>
      </c>
      <c r="S151" s="43" t="str">
        <f aca="false">IF(S138&lt;&gt;"",IF(S138&gt;130000000,28,IF(S138&gt;64000000,27,IF(S138&gt;320000000,26,IF(S138&gt;16000000,25,IF(S138&gt;8000000,24,IF(S138&gt;4000000,23,IF(S138&gt;2000000,22,IF(S138&gt;1000000,21,IF(S138&gt;500000,20,IF(S138&gt;250000,19,IF(S138&gt;130000,18,IF(S138&gt;64000,17,IF(S138&gt;32000,16,IF(S138&gt;16000,15,IF(S138&gt;8000,14,IF(S138&gt;4000,13,IF(S138&gt;2000,12,IF(S138&gt;1000,11,IF(S138&gt;500,10,IF(S138&gt;250,9,IF(S138&gt;130,8,IF(S138&gt;64,7,IF(S138&gt;32,6,IF(S138&gt;16,5,IF(S138&gt;8,4,IF(S138&gt;4,3,IF(S138&gt;2,2,IF(S138&gt;1,1,IF(S138&gt;0.5,0,IF(S138=0,0)))))))))))))))))))))))))))))),"")</f>
        <v/>
      </c>
      <c r="T151" s="43" t="str">
        <f aca="false">IF(T138&lt;&gt;"",IF(T138&gt;130000000,28,IF(T138&gt;64000000,27,IF(T138&gt;320000000,26,IF(T138&gt;16000000,25,IF(T138&gt;8000000,24,IF(T138&gt;4000000,23,IF(T138&gt;2000000,22,IF(T138&gt;1000000,21,IF(T138&gt;500000,20,IF(T138&gt;250000,19,IF(T138&gt;130000,18,IF(T138&gt;64000,17,IF(T138&gt;32000,16,IF(T138&gt;16000,15,IF(T138&gt;8000,14,IF(T138&gt;4000,13,IF(T138&gt;2000,12,IF(T138&gt;1000,11,IF(T138&gt;500,10,IF(T138&gt;250,9,IF(T138&gt;130,8,IF(T138&gt;64,7,IF(T138&gt;32,6,IF(T138&gt;16,5,IF(T138&gt;8,4,IF(T138&gt;4,3,IF(T138&gt;2,2,IF(T138&gt;1,1,IF(T138&gt;0.5,0,IF(T138=0,0)))))))))))))))))))))))))))))),"")</f>
        <v/>
      </c>
      <c r="U151" s="43" t="str">
        <f aca="false">IF(U138&lt;&gt;"",IF(U138&gt;130000000,28,IF(U138&gt;64000000,27,IF(U138&gt;320000000,26,IF(U138&gt;16000000,25,IF(U138&gt;8000000,24,IF(U138&gt;4000000,23,IF(U138&gt;2000000,22,IF(U138&gt;1000000,21,IF(U138&gt;500000,20,IF(U138&gt;250000,19,IF(U138&gt;130000,18,IF(U138&gt;64000,17,IF(U138&gt;32000,16,IF(U138&gt;16000,15,IF(U138&gt;8000,14,IF(U138&gt;4000,13,IF(U138&gt;2000,12,IF(U138&gt;1000,11,IF(U138&gt;500,10,IF(U138&gt;250,9,IF(U138&gt;130,8,IF(U138&gt;64,7,IF(U138&gt;32,6,IF(U138&gt;16,5,IF(U138&gt;8,4,IF(U138&gt;4,3,IF(U138&gt;2,2,IF(U138&gt;1,1,IF(U138&gt;0.5,0,IF(U138=0,0)))))))))))))))))))))))))))))),"")</f>
        <v/>
      </c>
      <c r="V151" s="43" t="str">
        <f aca="false">IF(V138&lt;&gt;"",IF(V138&gt;130000000,28,IF(V138&gt;64000000,27,IF(V138&gt;320000000,26,IF(V138&gt;16000000,25,IF(V138&gt;8000000,24,IF(V138&gt;4000000,23,IF(V138&gt;2000000,22,IF(V138&gt;1000000,21,IF(V138&gt;500000,20,IF(V138&gt;250000,19,IF(V138&gt;130000,18,IF(V138&gt;64000,17,IF(V138&gt;32000,16,IF(V138&gt;16000,15,IF(V138&gt;8000,14,IF(V138&gt;4000,13,IF(V138&gt;2000,12,IF(V138&gt;1000,11,IF(V138&gt;500,10,IF(V138&gt;250,9,IF(V138&gt;130,8,IF(V138&gt;64,7,IF(V138&gt;32,6,IF(V138&gt;16,5,IF(V138&gt;8,4,IF(V138&gt;4,3,IF(V138&gt;2,2,IF(V138&gt;1,1,IF(V138&gt;0.5,0,IF(V138=0,0)))))))))))))))))))))))))))))),"")</f>
        <v/>
      </c>
      <c r="W151" s="43" t="str">
        <f aca="false">IF(W138&lt;&gt;"",IF(W138&gt;130000000,28,IF(W138&gt;64000000,27,IF(W138&gt;320000000,26,IF(W138&gt;16000000,25,IF(W138&gt;8000000,24,IF(W138&gt;4000000,23,IF(W138&gt;2000000,22,IF(W138&gt;1000000,21,IF(W138&gt;500000,20,IF(W138&gt;250000,19,IF(W138&gt;130000,18,IF(W138&gt;64000,17,IF(W138&gt;32000,16,IF(W138&gt;16000,15,IF(W138&gt;8000,14,IF(W138&gt;4000,13,IF(W138&gt;2000,12,IF(W138&gt;1000,11,IF(W138&gt;500,10,IF(W138&gt;250,9,IF(W138&gt;130,8,IF(W138&gt;64,7,IF(W138&gt;32,6,IF(W138&gt;16,5,IF(W138&gt;8,4,IF(W138&gt;4,3,IF(W138&gt;2,2,IF(W138&gt;1,1,IF(W138&gt;0.5,0,IF(W138=0,0)))))))))))))))))))))))))))))),"")</f>
        <v/>
      </c>
      <c r="X151" s="43" t="str">
        <f aca="false">IF(X138&lt;&gt;"",IF(X138&gt;130000000,28,IF(X138&gt;64000000,27,IF(X138&gt;320000000,26,IF(X138&gt;16000000,25,IF(X138&gt;8000000,24,IF(X138&gt;4000000,23,IF(X138&gt;2000000,22,IF(X138&gt;1000000,21,IF(X138&gt;500000,20,IF(X138&gt;250000,19,IF(X138&gt;130000,18,IF(X138&gt;64000,17,IF(X138&gt;32000,16,IF(X138&gt;16000,15,IF(X138&gt;8000,14,IF(X138&gt;4000,13,IF(X138&gt;2000,12,IF(X138&gt;1000,11,IF(X138&gt;500,10,IF(X138&gt;250,9,IF(X138&gt;130,8,IF(X138&gt;64,7,IF(X138&gt;32,6,IF(X138&gt;16,5,IF(X138&gt;8,4,IF(X138&gt;4,3,IF(X138&gt;2,2,IF(X138&gt;1,1,IF(X138&gt;0.5,0,IF(X138=0,0)))))))))))))))))))))))))))))),"")</f>
        <v/>
      </c>
      <c r="Y151" s="43" t="str">
        <f aca="false">IF(Y138&lt;&gt;"",IF(Y138&gt;130000000,28,IF(Y138&gt;64000000,27,IF(Y138&gt;320000000,26,IF(Y138&gt;16000000,25,IF(Y138&gt;8000000,24,IF(Y138&gt;4000000,23,IF(Y138&gt;2000000,22,IF(Y138&gt;1000000,21,IF(Y138&gt;500000,20,IF(Y138&gt;250000,19,IF(Y138&gt;130000,18,IF(Y138&gt;64000,17,IF(Y138&gt;32000,16,IF(Y138&gt;16000,15,IF(Y138&gt;8000,14,IF(Y138&gt;4000,13,IF(Y138&gt;2000,12,IF(Y138&gt;1000,11,IF(Y138&gt;500,10,IF(Y138&gt;250,9,IF(Y138&gt;130,8,IF(Y138&gt;64,7,IF(Y138&gt;32,6,IF(Y138&gt;16,5,IF(Y138&gt;8,4,IF(Y138&gt;4,3,IF(Y138&gt;2,2,IF(Y138&gt;1,1,IF(Y138&gt;0.5,0,IF(Y138=0,0)))))))))))))))))))))))))))))),"")</f>
        <v/>
      </c>
      <c r="Z151" s="43" t="str">
        <f aca="false">IF(Z138&lt;&gt;"",IF(Z138&gt;130000000,28,IF(Z138&gt;64000000,27,IF(Z138&gt;320000000,26,IF(Z138&gt;16000000,25,IF(Z138&gt;8000000,24,IF(Z138&gt;4000000,23,IF(Z138&gt;2000000,22,IF(Z138&gt;1000000,21,IF(Z138&gt;500000,20,IF(Z138&gt;250000,19,IF(Z138&gt;130000,18,IF(Z138&gt;64000,17,IF(Z138&gt;32000,16,IF(Z138&gt;16000,15,IF(Z138&gt;8000,14,IF(Z138&gt;4000,13,IF(Z138&gt;2000,12,IF(Z138&gt;1000,11,IF(Z138&gt;500,10,IF(Z138&gt;250,9,IF(Z138&gt;130,8,IF(Z138&gt;64,7,IF(Z138&gt;32,6,IF(Z138&gt;16,5,IF(Z138&gt;8,4,IF(Z138&gt;4,3,IF(Z138&gt;2,2,IF(Z138&gt;1,1,IF(Z138&gt;0.5,0,IF(Z138=0,0)))))))))))))))))))))))))))))),"")</f>
        <v/>
      </c>
      <c r="AA151" s="43" t="str">
        <f aca="false">IF(AA138&lt;&gt;"",IF(AA138&gt;130000000,28,IF(AA138&gt;64000000,27,IF(AA138&gt;320000000,26,IF(AA138&gt;16000000,25,IF(AA138&gt;8000000,24,IF(AA138&gt;4000000,23,IF(AA138&gt;2000000,22,IF(AA138&gt;1000000,21,IF(AA138&gt;500000,20,IF(AA138&gt;250000,19,IF(AA138&gt;130000,18,IF(AA138&gt;64000,17,IF(AA138&gt;32000,16,IF(AA138&gt;16000,15,IF(AA138&gt;8000,14,IF(AA138&gt;4000,13,IF(AA138&gt;2000,12,IF(AA138&gt;1000,11,IF(AA138&gt;500,10,IF(AA138&gt;250,9,IF(AA138&gt;130,8,IF(AA138&gt;64,7,IF(AA138&gt;32,6,IF(AA138&gt;16,5,IF(AA138&gt;8,4,IF(AA138&gt;4,3,IF(AA138&gt;2,2,IF(AA138&gt;1,1,IF(AA138&gt;0.5,0,IF(AA138=0,0)))))))))))))))))))))))))))))),"")</f>
        <v/>
      </c>
      <c r="AB151" s="43" t="str">
        <f aca="false">IF(AB138&lt;&gt;"",IF(AB138&gt;130000000,28,IF(AB138&gt;64000000,27,IF(AB138&gt;320000000,26,IF(AB138&gt;16000000,25,IF(AB138&gt;8000000,24,IF(AB138&gt;4000000,23,IF(AB138&gt;2000000,22,IF(AB138&gt;1000000,21,IF(AB138&gt;500000,20,IF(AB138&gt;250000,19,IF(AB138&gt;130000,18,IF(AB138&gt;64000,17,IF(AB138&gt;32000,16,IF(AB138&gt;16000,15,IF(AB138&gt;8000,14,IF(AB138&gt;4000,13,IF(AB138&gt;2000,12,IF(AB138&gt;1000,11,IF(AB138&gt;500,10,IF(AB138&gt;250,9,IF(AB138&gt;130,8,IF(AB138&gt;64,7,IF(AB138&gt;32,6,IF(AB138&gt;16,5,IF(AB138&gt;8,4,IF(AB138&gt;4,3,IF(AB138&gt;2,2,IF(AB138&gt;1,1,IF(AB138&gt;0.5,0,IF(AB138=0,0)))))))))))))))))))))))))))))),"")</f>
        <v/>
      </c>
      <c r="AC151" s="43" t="str">
        <f aca="false">IF(AC138&lt;&gt;"",IF(AC138&gt;130000000,28,IF(AC138&gt;64000000,27,IF(AC138&gt;320000000,26,IF(AC138&gt;16000000,25,IF(AC138&gt;8000000,24,IF(AC138&gt;4000000,23,IF(AC138&gt;2000000,22,IF(AC138&gt;1000000,21,IF(AC138&gt;500000,20,IF(AC138&gt;250000,19,IF(AC138&gt;130000,18,IF(AC138&gt;64000,17,IF(AC138&gt;32000,16,IF(AC138&gt;16000,15,IF(AC138&gt;8000,14,IF(AC138&gt;4000,13,IF(AC138&gt;2000,12,IF(AC138&gt;1000,11,IF(AC138&gt;500,10,IF(AC138&gt;250,9,IF(AC138&gt;130,8,IF(AC138&gt;64,7,IF(AC138&gt;32,6,IF(AC138&gt;16,5,IF(AC138&gt;8,4,IF(AC138&gt;4,3,IF(AC138&gt;2,2,IF(AC138&gt;1,1,IF(AC138&gt;0.5,0,IF(AC138=0,0)))))))))))))))))))))))))))))),"")</f>
        <v/>
      </c>
      <c r="AD151" s="43" t="str">
        <f aca="false">IF(AD138&lt;&gt;"",IF(AD138&gt;130000000,28,IF(AD138&gt;64000000,27,IF(AD138&gt;320000000,26,IF(AD138&gt;16000000,25,IF(AD138&gt;8000000,24,IF(AD138&gt;4000000,23,IF(AD138&gt;2000000,22,IF(AD138&gt;1000000,21,IF(AD138&gt;500000,20,IF(AD138&gt;250000,19,IF(AD138&gt;130000,18,IF(AD138&gt;64000,17,IF(AD138&gt;32000,16,IF(AD138&gt;16000,15,IF(AD138&gt;8000,14,IF(AD138&gt;4000,13,IF(AD138&gt;2000,12,IF(AD138&gt;1000,11,IF(AD138&gt;500,10,IF(AD138&gt;250,9,IF(AD138&gt;130,8,IF(AD138&gt;64,7,IF(AD138&gt;32,6,IF(AD138&gt;16,5,IF(AD138&gt;8,4,IF(AD138&gt;4,3,IF(AD138&gt;2,2,IF(AD138&gt;1,1,IF(AD138&gt;0.5,0,IF(AD138=0,0)))))))))))))))))))))))))))))),"")</f>
        <v/>
      </c>
      <c r="AE151" s="43" t="str">
        <f aca="false">IF(AE138&lt;&gt;"",IF(AE138&gt;130000000,28,IF(AE138&gt;64000000,27,IF(AE138&gt;320000000,26,IF(AE138&gt;16000000,25,IF(AE138&gt;8000000,24,IF(AE138&gt;4000000,23,IF(AE138&gt;2000000,22,IF(AE138&gt;1000000,21,IF(AE138&gt;500000,20,IF(AE138&gt;250000,19,IF(AE138&gt;130000,18,IF(AE138&gt;64000,17,IF(AE138&gt;32000,16,IF(AE138&gt;16000,15,IF(AE138&gt;8000,14,IF(AE138&gt;4000,13,IF(AE138&gt;2000,12,IF(AE138&gt;1000,11,IF(AE138&gt;500,10,IF(AE138&gt;250,9,IF(AE138&gt;130,8,IF(AE138&gt;64,7,IF(AE138&gt;32,6,IF(AE138&gt;16,5,IF(AE138&gt;8,4,IF(AE138&gt;4,3,IF(AE138&gt;2,2,IF(AE138&gt;1,1,IF(AE138&gt;0.5,0,IF(AE138=0,0)))))))))))))))))))))))))))))),"")</f>
        <v/>
      </c>
      <c r="AF151" s="43" t="str">
        <f aca="false">IF(AF138&lt;&gt;"",IF(AF138&gt;130000000,28,IF(AF138&gt;64000000,27,IF(AF138&gt;320000000,26,IF(AF138&gt;16000000,25,IF(AF138&gt;8000000,24,IF(AF138&gt;4000000,23,IF(AF138&gt;2000000,22,IF(AF138&gt;1000000,21,IF(AF138&gt;500000,20,IF(AF138&gt;250000,19,IF(AF138&gt;130000,18,IF(AF138&gt;64000,17,IF(AF138&gt;32000,16,IF(AF138&gt;16000,15,IF(AF138&gt;8000,14,IF(AF138&gt;4000,13,IF(AF138&gt;2000,12,IF(AF138&gt;1000,11,IF(AF138&gt;500,10,IF(AF138&gt;250,9,IF(AF138&gt;130,8,IF(AF138&gt;64,7,IF(AF138&gt;32,6,IF(AF138&gt;16,5,IF(AF138&gt;8,4,IF(AF138&gt;4,3,IF(AF138&gt;2,2,IF(AF138&gt;1,1,IF(AF138&gt;0.5,0,IF(AF138=0,0)))))))))))))))))))))))))))))),"")</f>
        <v/>
      </c>
      <c r="AG151" s="43" t="str">
        <f aca="false">IF(AG138&lt;&gt;"",IF(AG138&gt;130000000,28,IF(AG138&gt;64000000,27,IF(AG138&gt;320000000,26,IF(AG138&gt;16000000,25,IF(AG138&gt;8000000,24,IF(AG138&gt;4000000,23,IF(AG138&gt;2000000,22,IF(AG138&gt;1000000,21,IF(AG138&gt;500000,20,IF(AG138&gt;250000,19,IF(AG138&gt;130000,18,IF(AG138&gt;64000,17,IF(AG138&gt;32000,16,IF(AG138&gt;16000,15,IF(AG138&gt;8000,14,IF(AG138&gt;4000,13,IF(AG138&gt;2000,12,IF(AG138&gt;1000,11,IF(AG138&gt;500,10,IF(AG138&gt;250,9,IF(AG138&gt;130,8,IF(AG138&gt;64,7,IF(AG138&gt;32,6,IF(AG138&gt;16,5,IF(AG138&gt;8,4,IF(AG138&gt;4,3,IF(AG138&gt;2,2,IF(AG138&gt;1,1,IF(AG138&gt;0.5,0,IF(AG138=0,0)))))))))))))))))))))))))))))),"")</f>
        <v/>
      </c>
      <c r="AH151" s="43" t="str">
        <f aca="false">IF(AH138&lt;&gt;"",IF(AH138&gt;130000000,28,IF(AH138&gt;64000000,27,IF(AH138&gt;320000000,26,IF(AH138&gt;16000000,25,IF(AH138&gt;8000000,24,IF(AH138&gt;4000000,23,IF(AH138&gt;2000000,22,IF(AH138&gt;1000000,21,IF(AH138&gt;500000,20,IF(AH138&gt;250000,19,IF(AH138&gt;130000,18,IF(AH138&gt;64000,17,IF(AH138&gt;32000,16,IF(AH138&gt;16000,15,IF(AH138&gt;8000,14,IF(AH138&gt;4000,13,IF(AH138&gt;2000,12,IF(AH138&gt;1000,11,IF(AH138&gt;500,10,IF(AH138&gt;250,9,IF(AH138&gt;130,8,IF(AH138&gt;64,7,IF(AH138&gt;32,6,IF(AH138&gt;16,5,IF(AH138&gt;8,4,IF(AH138&gt;4,3,IF(AH138&gt;2,2,IF(AH138&gt;1,1,IF(AH138&gt;0.5,0,IF(AH138=0,0)))))))))))))))))))))))))))))),"")</f>
        <v/>
      </c>
      <c r="AI151" s="43" t="str">
        <f aca="false">IF(AI138&lt;&gt;"",IF(AI138&gt;130000000,28,IF(AI138&gt;64000000,27,IF(AI138&gt;320000000,26,IF(AI138&gt;16000000,25,IF(AI138&gt;8000000,24,IF(AI138&gt;4000000,23,IF(AI138&gt;2000000,22,IF(AI138&gt;1000000,21,IF(AI138&gt;500000,20,IF(AI138&gt;250000,19,IF(AI138&gt;130000,18,IF(AI138&gt;64000,17,IF(AI138&gt;32000,16,IF(AI138&gt;16000,15,IF(AI138&gt;8000,14,IF(AI138&gt;4000,13,IF(AI138&gt;2000,12,IF(AI138&gt;1000,11,IF(AI138&gt;500,10,IF(AI138&gt;250,9,IF(AI138&gt;130,8,IF(AI138&gt;64,7,IF(AI138&gt;32,6,IF(AI138&gt;16,5,IF(AI138&gt;8,4,IF(AI138&gt;4,3,IF(AI138&gt;2,2,IF(AI138&gt;1,1,IF(AI138&gt;0.5,0,IF(AI138=0,0)))))))))))))))))))))))))))))),"")</f>
        <v/>
      </c>
      <c r="AJ151" s="43" t="str">
        <f aca="false">IF(AJ138&lt;&gt;"",IF(AJ138&gt;130000000,28,IF(AJ138&gt;64000000,27,IF(AJ138&gt;320000000,26,IF(AJ138&gt;16000000,25,IF(AJ138&gt;8000000,24,IF(AJ138&gt;4000000,23,IF(AJ138&gt;2000000,22,IF(AJ138&gt;1000000,21,IF(AJ138&gt;500000,20,IF(AJ138&gt;250000,19,IF(AJ138&gt;130000,18,IF(AJ138&gt;64000,17,IF(AJ138&gt;32000,16,IF(AJ138&gt;16000,15,IF(AJ138&gt;8000,14,IF(AJ138&gt;4000,13,IF(AJ138&gt;2000,12,IF(AJ138&gt;1000,11,IF(AJ138&gt;500,10,IF(AJ138&gt;250,9,IF(AJ138&gt;130,8,IF(AJ138&gt;64,7,IF(AJ138&gt;32,6,IF(AJ138&gt;16,5,IF(AJ138&gt;8,4,IF(AJ138&gt;4,3,IF(AJ138&gt;2,2,IF(AJ138&gt;1,1,IF(AJ138&gt;0.5,0,IF(AJ138=0,0)))))))))))))))))))))))))))))),"")</f>
        <v/>
      </c>
      <c r="AK151" s="44" t="str">
        <f aca="false">IF(AK138&lt;&gt;"",IF(AK138&gt;130000000,28,IF(AK138&gt;64000000,27,IF(AK138&gt;320000000,26,IF(AK138&gt;16000000,25,IF(AK138&gt;8000000,24,IF(AK138&gt;4000000,23,IF(AK138&gt;2000000,22,IF(AK138&gt;1000000,21,IF(AK138&gt;500000,20,IF(AK138&gt;250000,19,IF(AK138&gt;130000,18,IF(AK138&gt;64000,17,IF(AK138&gt;32000,16,IF(AK138&gt;16000,15,IF(AK138&gt;8000,14,IF(AK138&gt;4000,13,IF(AK138&gt;2000,12,IF(AK138&gt;1000,11,IF(AK138&gt;500,10,IF(AK138&gt;250,9,IF(AK138&gt;130,8,IF(AK138&gt;64,7,IF(AK138&gt;32,6,IF(AK138&gt;16,5,IF(AK138&gt;8,4,IF(AK138&gt;4,3,IF(AK138&gt;2,2,IF(AK138&gt;1,1,IF(AK138&gt;0.5,0,IF(AK138=0,0)))))))))))))))))))))))))))))),"")</f>
        <v/>
      </c>
      <c r="AL151" s="3"/>
      <c r="AM151" s="4"/>
      <c r="AN151" s="4"/>
      <c r="AO151" s="4"/>
      <c r="AP151" s="4"/>
      <c r="AQ151" s="4"/>
      <c r="AR151" s="61"/>
    </row>
    <row r="152" s="58" customFormat="true" ht="13.8" hidden="false" customHeight="false" outlineLevel="0" collapsed="false">
      <c r="A152" s="104"/>
      <c r="B152" s="57"/>
      <c r="C152" s="58" t="s">
        <v>46</v>
      </c>
      <c r="D152" s="58" t="s">
        <v>290</v>
      </c>
      <c r="E152" s="47" t="str">
        <f aca="false">IF(E139&lt;&gt;"",IF(E139&gt;130000000,28,IF(E139&gt;64000000,27,IF(E139&gt;320000000,26,IF(E139&gt;16000000,25,IF(E139&gt;8000000,24,IF(E139&gt;4000000,23,IF(E139&gt;2000000,22,IF(E139&gt;1000000,21,IF(E139&gt;500000,20,IF(E139&gt;250000,19,IF(E139&gt;130000,18,IF(E139&gt;64000,17,IF(E139&gt;32000,16,IF(E139&gt;16000,15,IF(E139&gt;8000,14,IF(E139&gt;4000,13,IF(E139&gt;2000,12,IF(E139&gt;1000,11,IF(E139&gt;500,10,IF(E139&gt;250,9,IF(E139&gt;130,8,IF(E139&gt;64,7,IF(E139&gt;32,6,IF(E139&gt;16,5,IF(E139&gt;8,4,IF(E139&gt;4,3,IF(E139&gt;2,2,IF(E139&gt;1,1,IF(E139&gt;0.5,0,IF(E139=0,0)))))))))))))))))))))))))))))),"")</f>
        <v/>
      </c>
      <c r="F152" s="47" t="str">
        <f aca="false">IF(F139&lt;&gt;"",IF(F139&gt;130000000,28,IF(F139&gt;64000000,27,IF(F139&gt;320000000,26,IF(F139&gt;16000000,25,IF(F139&gt;8000000,24,IF(F139&gt;4000000,23,IF(F139&gt;2000000,22,IF(F139&gt;1000000,21,IF(F139&gt;500000,20,IF(F139&gt;250000,19,IF(F139&gt;130000,18,IF(F139&gt;64000,17,IF(F139&gt;32000,16,IF(F139&gt;16000,15,IF(F139&gt;8000,14,IF(F139&gt;4000,13,IF(F139&gt;2000,12,IF(F139&gt;1000,11,IF(F139&gt;500,10,IF(F139&gt;250,9,IF(F139&gt;130,8,IF(F139&gt;64,7,IF(F139&gt;32,6,IF(F139&gt;16,5,IF(F139&gt;8,4,IF(F139&gt;4,3,IF(F139&gt;2,2,IF(F139&gt;1,1,IF(F139&gt;0.5,0,IF(F139=0,0)))))))))))))))))))))))))))))),"")</f>
        <v/>
      </c>
      <c r="G152" s="47" t="str">
        <f aca="false">IF(G139&lt;&gt;"",IF(G139&gt;130000000,28,IF(G139&gt;64000000,27,IF(G139&gt;320000000,26,IF(G139&gt;16000000,25,IF(G139&gt;8000000,24,IF(G139&gt;4000000,23,IF(G139&gt;2000000,22,IF(G139&gt;1000000,21,IF(G139&gt;500000,20,IF(G139&gt;250000,19,IF(G139&gt;130000,18,IF(G139&gt;64000,17,IF(G139&gt;32000,16,IF(G139&gt;16000,15,IF(G139&gt;8000,14,IF(G139&gt;4000,13,IF(G139&gt;2000,12,IF(G139&gt;1000,11,IF(G139&gt;500,10,IF(G139&gt;250,9,IF(G139&gt;130,8,IF(G139&gt;64,7,IF(G139&gt;32,6,IF(G139&gt;16,5,IF(G139&gt;8,4,IF(G139&gt;4,3,IF(G139&gt;2,2,IF(G139&gt;1,1,IF(G139&gt;0.5,0,IF(G139=0,0)))))))))))))))))))))))))))))),"")</f>
        <v/>
      </c>
      <c r="H152" s="47" t="str">
        <f aca="false">IF(H139&lt;&gt;"",IF(H139&gt;130000000,28,IF(H139&gt;64000000,27,IF(H139&gt;320000000,26,IF(H139&gt;16000000,25,IF(H139&gt;8000000,24,IF(H139&gt;4000000,23,IF(H139&gt;2000000,22,IF(H139&gt;1000000,21,IF(H139&gt;500000,20,IF(H139&gt;250000,19,IF(H139&gt;130000,18,IF(H139&gt;64000,17,IF(H139&gt;32000,16,IF(H139&gt;16000,15,IF(H139&gt;8000,14,IF(H139&gt;4000,13,IF(H139&gt;2000,12,IF(H139&gt;1000,11,IF(H139&gt;500,10,IF(H139&gt;250,9,IF(H139&gt;130,8,IF(H139&gt;64,7,IF(H139&gt;32,6,IF(H139&gt;16,5,IF(H139&gt;8,4,IF(H139&gt;4,3,IF(H139&gt;2,2,IF(H139&gt;1,1,IF(H139&gt;0.5,0,IF(H139=0,0)))))))))))))))))))))))))))))),"")</f>
        <v/>
      </c>
      <c r="I152" s="47" t="str">
        <f aca="false">IF(I139&lt;&gt;"",IF(I139&gt;130000000,28,IF(I139&gt;64000000,27,IF(I139&gt;320000000,26,IF(I139&gt;16000000,25,IF(I139&gt;8000000,24,IF(I139&gt;4000000,23,IF(I139&gt;2000000,22,IF(I139&gt;1000000,21,IF(I139&gt;500000,20,IF(I139&gt;250000,19,IF(I139&gt;130000,18,IF(I139&gt;64000,17,IF(I139&gt;32000,16,IF(I139&gt;16000,15,IF(I139&gt;8000,14,IF(I139&gt;4000,13,IF(I139&gt;2000,12,IF(I139&gt;1000,11,IF(I139&gt;500,10,IF(I139&gt;250,9,IF(I139&gt;130,8,IF(I139&gt;64,7,IF(I139&gt;32,6,IF(I139&gt;16,5,IF(I139&gt;8,4,IF(I139&gt;4,3,IF(I139&gt;2,2,IF(I139&gt;1,1,IF(I139&gt;0.5,0,IF(I139=0,0)))))))))))))))))))))))))))))),"")</f>
        <v/>
      </c>
      <c r="J152" s="47" t="str">
        <f aca="false">IF(J139&lt;&gt;"",IF(J139&gt;130000000,28,IF(J139&gt;64000000,27,IF(J139&gt;320000000,26,IF(J139&gt;16000000,25,IF(J139&gt;8000000,24,IF(J139&gt;4000000,23,IF(J139&gt;2000000,22,IF(J139&gt;1000000,21,IF(J139&gt;500000,20,IF(J139&gt;250000,19,IF(J139&gt;130000,18,IF(J139&gt;64000,17,IF(J139&gt;32000,16,IF(J139&gt;16000,15,IF(J139&gt;8000,14,IF(J139&gt;4000,13,IF(J139&gt;2000,12,IF(J139&gt;1000,11,IF(J139&gt;500,10,IF(J139&gt;250,9,IF(J139&gt;130,8,IF(J139&gt;64,7,IF(J139&gt;32,6,IF(J139&gt;16,5,IF(J139&gt;8,4,IF(J139&gt;4,3,IF(J139&gt;2,2,IF(J139&gt;1,1,IF(J139&gt;0.5,0,IF(J139=0,0)))))))))))))))))))))))))))))),"")</f>
        <v/>
      </c>
      <c r="K152" s="47" t="str">
        <f aca="false">IF(K139&lt;&gt;"",IF(K139&gt;130000000,28,IF(K139&gt;64000000,27,IF(K139&gt;320000000,26,IF(K139&gt;16000000,25,IF(K139&gt;8000000,24,IF(K139&gt;4000000,23,IF(K139&gt;2000000,22,IF(K139&gt;1000000,21,IF(K139&gt;500000,20,IF(K139&gt;250000,19,IF(K139&gt;130000,18,IF(K139&gt;64000,17,IF(K139&gt;32000,16,IF(K139&gt;16000,15,IF(K139&gt;8000,14,IF(K139&gt;4000,13,IF(K139&gt;2000,12,IF(K139&gt;1000,11,IF(K139&gt;500,10,IF(K139&gt;250,9,IF(K139&gt;130,8,IF(K139&gt;64,7,IF(K139&gt;32,6,IF(K139&gt;16,5,IF(K139&gt;8,4,IF(K139&gt;4,3,IF(K139&gt;2,2,IF(K139&gt;1,1,IF(K139&gt;0.5,0,IF(K139=0,0)))))))))))))))))))))))))))))),"")</f>
        <v/>
      </c>
      <c r="L152" s="47" t="str">
        <f aca="false">IF(L139&lt;&gt;"",IF(L139&gt;130000000,28,IF(L139&gt;64000000,27,IF(L139&gt;320000000,26,IF(L139&gt;16000000,25,IF(L139&gt;8000000,24,IF(L139&gt;4000000,23,IF(L139&gt;2000000,22,IF(L139&gt;1000000,21,IF(L139&gt;500000,20,IF(L139&gt;250000,19,IF(L139&gt;130000,18,IF(L139&gt;64000,17,IF(L139&gt;32000,16,IF(L139&gt;16000,15,IF(L139&gt;8000,14,IF(L139&gt;4000,13,IF(L139&gt;2000,12,IF(L139&gt;1000,11,IF(L139&gt;500,10,IF(L139&gt;250,9,IF(L139&gt;130,8,IF(L139&gt;64,7,IF(L139&gt;32,6,IF(L139&gt;16,5,IF(L139&gt;8,4,IF(L139&gt;4,3,IF(L139&gt;2,2,IF(L139&gt;1,1,IF(L139&gt;0.5,0,IF(L139=0,0)))))))))))))))))))))))))))))),"")</f>
        <v/>
      </c>
      <c r="M152" s="47" t="str">
        <f aca="false">IF(M139&lt;&gt;"",IF(M139&gt;130000000,28,IF(M139&gt;64000000,27,IF(M139&gt;320000000,26,IF(M139&gt;16000000,25,IF(M139&gt;8000000,24,IF(M139&gt;4000000,23,IF(M139&gt;2000000,22,IF(M139&gt;1000000,21,IF(M139&gt;500000,20,IF(M139&gt;250000,19,IF(M139&gt;130000,18,IF(M139&gt;64000,17,IF(M139&gt;32000,16,IF(M139&gt;16000,15,IF(M139&gt;8000,14,IF(M139&gt;4000,13,IF(M139&gt;2000,12,IF(M139&gt;1000,11,IF(M139&gt;500,10,IF(M139&gt;250,9,IF(M139&gt;130,8,IF(M139&gt;64,7,IF(M139&gt;32,6,IF(M139&gt;16,5,IF(M139&gt;8,4,IF(M139&gt;4,3,IF(M139&gt;2,2,IF(M139&gt;1,1,IF(M139&gt;0.5,0,IF(M139=0,0)))))))))))))))))))))))))))))),"")</f>
        <v/>
      </c>
      <c r="N152" s="47" t="str">
        <f aca="false">IF(N139&lt;&gt;"",IF(N139&gt;130000000,28,IF(N139&gt;64000000,27,IF(N139&gt;320000000,26,IF(N139&gt;16000000,25,IF(N139&gt;8000000,24,IF(N139&gt;4000000,23,IF(N139&gt;2000000,22,IF(N139&gt;1000000,21,IF(N139&gt;500000,20,IF(N139&gt;250000,19,IF(N139&gt;130000,18,IF(N139&gt;64000,17,IF(N139&gt;32000,16,IF(N139&gt;16000,15,IF(N139&gt;8000,14,IF(N139&gt;4000,13,IF(N139&gt;2000,12,IF(N139&gt;1000,11,IF(N139&gt;500,10,IF(N139&gt;250,9,IF(N139&gt;130,8,IF(N139&gt;64,7,IF(N139&gt;32,6,IF(N139&gt;16,5,IF(N139&gt;8,4,IF(N139&gt;4,3,IF(N139&gt;2,2,IF(N139&gt;1,1,IF(N139&gt;0.5,0,IF(N139=0,0)))))))))))))))))))))))))))))),"")</f>
        <v/>
      </c>
      <c r="O152" s="47" t="str">
        <f aca="false">IF(O139&lt;&gt;"",IF(O139&gt;130000000,28,IF(O139&gt;64000000,27,IF(O139&gt;320000000,26,IF(O139&gt;16000000,25,IF(O139&gt;8000000,24,IF(O139&gt;4000000,23,IF(O139&gt;2000000,22,IF(O139&gt;1000000,21,IF(O139&gt;500000,20,IF(O139&gt;250000,19,IF(O139&gt;130000,18,IF(O139&gt;64000,17,IF(O139&gt;32000,16,IF(O139&gt;16000,15,IF(O139&gt;8000,14,IF(O139&gt;4000,13,IF(O139&gt;2000,12,IF(O139&gt;1000,11,IF(O139&gt;500,10,IF(O139&gt;250,9,IF(O139&gt;130,8,IF(O139&gt;64,7,IF(O139&gt;32,6,IF(O139&gt;16,5,IF(O139&gt;8,4,IF(O139&gt;4,3,IF(O139&gt;2,2,IF(O139&gt;1,1,IF(O139&gt;0.5,0,IF(O139=0,0)))))))))))))))))))))))))))))),"")</f>
        <v/>
      </c>
      <c r="P152" s="47" t="str">
        <f aca="false">IF(P139&lt;&gt;"",IF(P139&gt;130000000,28,IF(P139&gt;64000000,27,IF(P139&gt;320000000,26,IF(P139&gt;16000000,25,IF(P139&gt;8000000,24,IF(P139&gt;4000000,23,IF(P139&gt;2000000,22,IF(P139&gt;1000000,21,IF(P139&gt;500000,20,IF(P139&gt;250000,19,IF(P139&gt;130000,18,IF(P139&gt;64000,17,IF(P139&gt;32000,16,IF(P139&gt;16000,15,IF(P139&gt;8000,14,IF(P139&gt;4000,13,IF(P139&gt;2000,12,IF(P139&gt;1000,11,IF(P139&gt;500,10,IF(P139&gt;250,9,IF(P139&gt;130,8,IF(P139&gt;64,7,IF(P139&gt;32,6,IF(P139&gt;16,5,IF(P139&gt;8,4,IF(P139&gt;4,3,IF(P139&gt;2,2,IF(P139&gt;1,1,IF(P139&gt;0.5,0,IF(P139=0,0)))))))))))))))))))))))))))))),"")</f>
        <v/>
      </c>
      <c r="Q152" s="47" t="str">
        <f aca="false">IF(Q139&lt;&gt;"",IF(Q139&gt;130000000,28,IF(Q139&gt;64000000,27,IF(Q139&gt;320000000,26,IF(Q139&gt;16000000,25,IF(Q139&gt;8000000,24,IF(Q139&gt;4000000,23,IF(Q139&gt;2000000,22,IF(Q139&gt;1000000,21,IF(Q139&gt;500000,20,IF(Q139&gt;250000,19,IF(Q139&gt;130000,18,IF(Q139&gt;64000,17,IF(Q139&gt;32000,16,IF(Q139&gt;16000,15,IF(Q139&gt;8000,14,IF(Q139&gt;4000,13,IF(Q139&gt;2000,12,IF(Q139&gt;1000,11,IF(Q139&gt;500,10,IF(Q139&gt;250,9,IF(Q139&gt;130,8,IF(Q139&gt;64,7,IF(Q139&gt;32,6,IF(Q139&gt;16,5,IF(Q139&gt;8,4,IF(Q139&gt;4,3,IF(Q139&gt;2,2,IF(Q139&gt;1,1,IF(Q139&gt;0.5,0,IF(Q139=0,0)))))))))))))))))))))))))))))),"")</f>
        <v/>
      </c>
      <c r="R152" s="47" t="str">
        <f aca="false">IF(R139&lt;&gt;"",IF(R139&gt;130000000,28,IF(R139&gt;64000000,27,IF(R139&gt;320000000,26,IF(R139&gt;16000000,25,IF(R139&gt;8000000,24,IF(R139&gt;4000000,23,IF(R139&gt;2000000,22,IF(R139&gt;1000000,21,IF(R139&gt;500000,20,IF(R139&gt;250000,19,IF(R139&gt;130000,18,IF(R139&gt;64000,17,IF(R139&gt;32000,16,IF(R139&gt;16000,15,IF(R139&gt;8000,14,IF(R139&gt;4000,13,IF(R139&gt;2000,12,IF(R139&gt;1000,11,IF(R139&gt;500,10,IF(R139&gt;250,9,IF(R139&gt;130,8,IF(R139&gt;64,7,IF(R139&gt;32,6,IF(R139&gt;16,5,IF(R139&gt;8,4,IF(R139&gt;4,3,IF(R139&gt;2,2,IF(R139&gt;1,1,IF(R139&gt;0.5,0,IF(R139=0,0)))))))))))))))))))))))))))))),"")</f>
        <v/>
      </c>
      <c r="S152" s="47" t="str">
        <f aca="false">IF(S139&lt;&gt;"",IF(S139&gt;130000000,28,IF(S139&gt;64000000,27,IF(S139&gt;320000000,26,IF(S139&gt;16000000,25,IF(S139&gt;8000000,24,IF(S139&gt;4000000,23,IF(S139&gt;2000000,22,IF(S139&gt;1000000,21,IF(S139&gt;500000,20,IF(S139&gt;250000,19,IF(S139&gt;130000,18,IF(S139&gt;64000,17,IF(S139&gt;32000,16,IF(S139&gt;16000,15,IF(S139&gt;8000,14,IF(S139&gt;4000,13,IF(S139&gt;2000,12,IF(S139&gt;1000,11,IF(S139&gt;500,10,IF(S139&gt;250,9,IF(S139&gt;130,8,IF(S139&gt;64,7,IF(S139&gt;32,6,IF(S139&gt;16,5,IF(S139&gt;8,4,IF(S139&gt;4,3,IF(S139&gt;2,2,IF(S139&gt;1,1,IF(S139&gt;0.5,0,IF(S139=0,0)))))))))))))))))))))))))))))),"")</f>
        <v/>
      </c>
      <c r="T152" s="47" t="str">
        <f aca="false">IF(T139&lt;&gt;"",IF(T139&gt;130000000,28,IF(T139&gt;64000000,27,IF(T139&gt;320000000,26,IF(T139&gt;16000000,25,IF(T139&gt;8000000,24,IF(T139&gt;4000000,23,IF(T139&gt;2000000,22,IF(T139&gt;1000000,21,IF(T139&gt;500000,20,IF(T139&gt;250000,19,IF(T139&gt;130000,18,IF(T139&gt;64000,17,IF(T139&gt;32000,16,IF(T139&gt;16000,15,IF(T139&gt;8000,14,IF(T139&gt;4000,13,IF(T139&gt;2000,12,IF(T139&gt;1000,11,IF(T139&gt;500,10,IF(T139&gt;250,9,IF(T139&gt;130,8,IF(T139&gt;64,7,IF(T139&gt;32,6,IF(T139&gt;16,5,IF(T139&gt;8,4,IF(T139&gt;4,3,IF(T139&gt;2,2,IF(T139&gt;1,1,IF(T139&gt;0.5,0,IF(T139=0,0)))))))))))))))))))))))))))))),"")</f>
        <v/>
      </c>
      <c r="U152" s="47" t="str">
        <f aca="false">IF(U139&lt;&gt;"",IF(U139&gt;130000000,28,IF(U139&gt;64000000,27,IF(U139&gt;320000000,26,IF(U139&gt;16000000,25,IF(U139&gt;8000000,24,IF(U139&gt;4000000,23,IF(U139&gt;2000000,22,IF(U139&gt;1000000,21,IF(U139&gt;500000,20,IF(U139&gt;250000,19,IF(U139&gt;130000,18,IF(U139&gt;64000,17,IF(U139&gt;32000,16,IF(U139&gt;16000,15,IF(U139&gt;8000,14,IF(U139&gt;4000,13,IF(U139&gt;2000,12,IF(U139&gt;1000,11,IF(U139&gt;500,10,IF(U139&gt;250,9,IF(U139&gt;130,8,IF(U139&gt;64,7,IF(U139&gt;32,6,IF(U139&gt;16,5,IF(U139&gt;8,4,IF(U139&gt;4,3,IF(U139&gt;2,2,IF(U139&gt;1,1,IF(U139&gt;0.5,0,IF(U139=0,0)))))))))))))))))))))))))))))),"")</f>
        <v/>
      </c>
      <c r="V152" s="47" t="str">
        <f aca="false">IF(V139&lt;&gt;"",IF(V139&gt;130000000,28,IF(V139&gt;64000000,27,IF(V139&gt;320000000,26,IF(V139&gt;16000000,25,IF(V139&gt;8000000,24,IF(V139&gt;4000000,23,IF(V139&gt;2000000,22,IF(V139&gt;1000000,21,IF(V139&gt;500000,20,IF(V139&gt;250000,19,IF(V139&gt;130000,18,IF(V139&gt;64000,17,IF(V139&gt;32000,16,IF(V139&gt;16000,15,IF(V139&gt;8000,14,IF(V139&gt;4000,13,IF(V139&gt;2000,12,IF(V139&gt;1000,11,IF(V139&gt;500,10,IF(V139&gt;250,9,IF(V139&gt;130,8,IF(V139&gt;64,7,IF(V139&gt;32,6,IF(V139&gt;16,5,IF(V139&gt;8,4,IF(V139&gt;4,3,IF(V139&gt;2,2,IF(V139&gt;1,1,IF(V139&gt;0.5,0,IF(V139=0,0)))))))))))))))))))))))))))))),"")</f>
        <v/>
      </c>
      <c r="W152" s="47" t="str">
        <f aca="false">IF(W139&lt;&gt;"",IF(W139&gt;130000000,28,IF(W139&gt;64000000,27,IF(W139&gt;320000000,26,IF(W139&gt;16000000,25,IF(W139&gt;8000000,24,IF(W139&gt;4000000,23,IF(W139&gt;2000000,22,IF(W139&gt;1000000,21,IF(W139&gt;500000,20,IF(W139&gt;250000,19,IF(W139&gt;130000,18,IF(W139&gt;64000,17,IF(W139&gt;32000,16,IF(W139&gt;16000,15,IF(W139&gt;8000,14,IF(W139&gt;4000,13,IF(W139&gt;2000,12,IF(W139&gt;1000,11,IF(W139&gt;500,10,IF(W139&gt;250,9,IF(W139&gt;130,8,IF(W139&gt;64,7,IF(W139&gt;32,6,IF(W139&gt;16,5,IF(W139&gt;8,4,IF(W139&gt;4,3,IF(W139&gt;2,2,IF(W139&gt;1,1,IF(W139&gt;0.5,0,IF(W139=0,0)))))))))))))))))))))))))))))),"")</f>
        <v/>
      </c>
      <c r="X152" s="47" t="str">
        <f aca="false">IF(X139&lt;&gt;"",IF(X139&gt;130000000,28,IF(X139&gt;64000000,27,IF(X139&gt;320000000,26,IF(X139&gt;16000000,25,IF(X139&gt;8000000,24,IF(X139&gt;4000000,23,IF(X139&gt;2000000,22,IF(X139&gt;1000000,21,IF(X139&gt;500000,20,IF(X139&gt;250000,19,IF(X139&gt;130000,18,IF(X139&gt;64000,17,IF(X139&gt;32000,16,IF(X139&gt;16000,15,IF(X139&gt;8000,14,IF(X139&gt;4000,13,IF(X139&gt;2000,12,IF(X139&gt;1000,11,IF(X139&gt;500,10,IF(X139&gt;250,9,IF(X139&gt;130,8,IF(X139&gt;64,7,IF(X139&gt;32,6,IF(X139&gt;16,5,IF(X139&gt;8,4,IF(X139&gt;4,3,IF(X139&gt;2,2,IF(X139&gt;1,1,IF(X139&gt;0.5,0,IF(X139=0,0)))))))))))))))))))))))))))))),"")</f>
        <v/>
      </c>
      <c r="Y152" s="47" t="str">
        <f aca="false">IF(Y139&lt;&gt;"",IF(Y139&gt;130000000,28,IF(Y139&gt;64000000,27,IF(Y139&gt;320000000,26,IF(Y139&gt;16000000,25,IF(Y139&gt;8000000,24,IF(Y139&gt;4000000,23,IF(Y139&gt;2000000,22,IF(Y139&gt;1000000,21,IF(Y139&gt;500000,20,IF(Y139&gt;250000,19,IF(Y139&gt;130000,18,IF(Y139&gt;64000,17,IF(Y139&gt;32000,16,IF(Y139&gt;16000,15,IF(Y139&gt;8000,14,IF(Y139&gt;4000,13,IF(Y139&gt;2000,12,IF(Y139&gt;1000,11,IF(Y139&gt;500,10,IF(Y139&gt;250,9,IF(Y139&gt;130,8,IF(Y139&gt;64,7,IF(Y139&gt;32,6,IF(Y139&gt;16,5,IF(Y139&gt;8,4,IF(Y139&gt;4,3,IF(Y139&gt;2,2,IF(Y139&gt;1,1,IF(Y139&gt;0.5,0,IF(Y139=0,0)))))))))))))))))))))))))))))),"")</f>
        <v/>
      </c>
      <c r="Z152" s="47" t="str">
        <f aca="false">IF(Z139&lt;&gt;"",IF(Z139&gt;130000000,28,IF(Z139&gt;64000000,27,IF(Z139&gt;320000000,26,IF(Z139&gt;16000000,25,IF(Z139&gt;8000000,24,IF(Z139&gt;4000000,23,IF(Z139&gt;2000000,22,IF(Z139&gt;1000000,21,IF(Z139&gt;500000,20,IF(Z139&gt;250000,19,IF(Z139&gt;130000,18,IF(Z139&gt;64000,17,IF(Z139&gt;32000,16,IF(Z139&gt;16000,15,IF(Z139&gt;8000,14,IF(Z139&gt;4000,13,IF(Z139&gt;2000,12,IF(Z139&gt;1000,11,IF(Z139&gt;500,10,IF(Z139&gt;250,9,IF(Z139&gt;130,8,IF(Z139&gt;64,7,IF(Z139&gt;32,6,IF(Z139&gt;16,5,IF(Z139&gt;8,4,IF(Z139&gt;4,3,IF(Z139&gt;2,2,IF(Z139&gt;1,1,IF(Z139&gt;0.5,0,IF(Z139=0,0)))))))))))))))))))))))))))))),"")</f>
        <v/>
      </c>
      <c r="AA152" s="47" t="str">
        <f aca="false">IF(AA139&lt;&gt;"",IF(AA139&gt;130000000,28,IF(AA139&gt;64000000,27,IF(AA139&gt;320000000,26,IF(AA139&gt;16000000,25,IF(AA139&gt;8000000,24,IF(AA139&gt;4000000,23,IF(AA139&gt;2000000,22,IF(AA139&gt;1000000,21,IF(AA139&gt;500000,20,IF(AA139&gt;250000,19,IF(AA139&gt;130000,18,IF(AA139&gt;64000,17,IF(AA139&gt;32000,16,IF(AA139&gt;16000,15,IF(AA139&gt;8000,14,IF(AA139&gt;4000,13,IF(AA139&gt;2000,12,IF(AA139&gt;1000,11,IF(AA139&gt;500,10,IF(AA139&gt;250,9,IF(AA139&gt;130,8,IF(AA139&gt;64,7,IF(AA139&gt;32,6,IF(AA139&gt;16,5,IF(AA139&gt;8,4,IF(AA139&gt;4,3,IF(AA139&gt;2,2,IF(AA139&gt;1,1,IF(AA139&gt;0.5,0,IF(AA139=0,0)))))))))))))))))))))))))))))),"")</f>
        <v/>
      </c>
      <c r="AB152" s="47" t="str">
        <f aca="false">IF(AB139&lt;&gt;"",IF(AB139&gt;130000000,28,IF(AB139&gt;64000000,27,IF(AB139&gt;320000000,26,IF(AB139&gt;16000000,25,IF(AB139&gt;8000000,24,IF(AB139&gt;4000000,23,IF(AB139&gt;2000000,22,IF(AB139&gt;1000000,21,IF(AB139&gt;500000,20,IF(AB139&gt;250000,19,IF(AB139&gt;130000,18,IF(AB139&gt;64000,17,IF(AB139&gt;32000,16,IF(AB139&gt;16000,15,IF(AB139&gt;8000,14,IF(AB139&gt;4000,13,IF(AB139&gt;2000,12,IF(AB139&gt;1000,11,IF(AB139&gt;500,10,IF(AB139&gt;250,9,IF(AB139&gt;130,8,IF(AB139&gt;64,7,IF(AB139&gt;32,6,IF(AB139&gt;16,5,IF(AB139&gt;8,4,IF(AB139&gt;4,3,IF(AB139&gt;2,2,IF(AB139&gt;1,1,IF(AB139&gt;0.5,0,IF(AB139=0,0)))))))))))))))))))))))))))))),"")</f>
        <v/>
      </c>
      <c r="AC152" s="47" t="str">
        <f aca="false">IF(AC139&lt;&gt;"",IF(AC139&gt;130000000,28,IF(AC139&gt;64000000,27,IF(AC139&gt;320000000,26,IF(AC139&gt;16000000,25,IF(AC139&gt;8000000,24,IF(AC139&gt;4000000,23,IF(AC139&gt;2000000,22,IF(AC139&gt;1000000,21,IF(AC139&gt;500000,20,IF(AC139&gt;250000,19,IF(AC139&gt;130000,18,IF(AC139&gt;64000,17,IF(AC139&gt;32000,16,IF(AC139&gt;16000,15,IF(AC139&gt;8000,14,IF(AC139&gt;4000,13,IF(AC139&gt;2000,12,IF(AC139&gt;1000,11,IF(AC139&gt;500,10,IF(AC139&gt;250,9,IF(AC139&gt;130,8,IF(AC139&gt;64,7,IF(AC139&gt;32,6,IF(AC139&gt;16,5,IF(AC139&gt;8,4,IF(AC139&gt;4,3,IF(AC139&gt;2,2,IF(AC139&gt;1,1,IF(AC139&gt;0.5,0,IF(AC139=0,0)))))))))))))))))))))))))))))),"")</f>
        <v/>
      </c>
      <c r="AD152" s="47" t="str">
        <f aca="false">IF(AD139&lt;&gt;"",IF(AD139&gt;130000000,28,IF(AD139&gt;64000000,27,IF(AD139&gt;320000000,26,IF(AD139&gt;16000000,25,IF(AD139&gt;8000000,24,IF(AD139&gt;4000000,23,IF(AD139&gt;2000000,22,IF(AD139&gt;1000000,21,IF(AD139&gt;500000,20,IF(AD139&gt;250000,19,IF(AD139&gt;130000,18,IF(AD139&gt;64000,17,IF(AD139&gt;32000,16,IF(AD139&gt;16000,15,IF(AD139&gt;8000,14,IF(AD139&gt;4000,13,IF(AD139&gt;2000,12,IF(AD139&gt;1000,11,IF(AD139&gt;500,10,IF(AD139&gt;250,9,IF(AD139&gt;130,8,IF(AD139&gt;64,7,IF(AD139&gt;32,6,IF(AD139&gt;16,5,IF(AD139&gt;8,4,IF(AD139&gt;4,3,IF(AD139&gt;2,2,IF(AD139&gt;1,1,IF(AD139&gt;0.5,0,IF(AD139=0,0)))))))))))))))))))))))))))))),"")</f>
        <v/>
      </c>
      <c r="AE152" s="47" t="str">
        <f aca="false">IF(AE139&lt;&gt;"",IF(AE139&gt;130000000,28,IF(AE139&gt;64000000,27,IF(AE139&gt;320000000,26,IF(AE139&gt;16000000,25,IF(AE139&gt;8000000,24,IF(AE139&gt;4000000,23,IF(AE139&gt;2000000,22,IF(AE139&gt;1000000,21,IF(AE139&gt;500000,20,IF(AE139&gt;250000,19,IF(AE139&gt;130000,18,IF(AE139&gt;64000,17,IF(AE139&gt;32000,16,IF(AE139&gt;16000,15,IF(AE139&gt;8000,14,IF(AE139&gt;4000,13,IF(AE139&gt;2000,12,IF(AE139&gt;1000,11,IF(AE139&gt;500,10,IF(AE139&gt;250,9,IF(AE139&gt;130,8,IF(AE139&gt;64,7,IF(AE139&gt;32,6,IF(AE139&gt;16,5,IF(AE139&gt;8,4,IF(AE139&gt;4,3,IF(AE139&gt;2,2,IF(AE139&gt;1,1,IF(AE139&gt;0.5,0,IF(AE139=0,0)))))))))))))))))))))))))))))),"")</f>
        <v/>
      </c>
      <c r="AF152" s="47" t="str">
        <f aca="false">IF(AF139&lt;&gt;"",IF(AF139&gt;130000000,28,IF(AF139&gt;64000000,27,IF(AF139&gt;320000000,26,IF(AF139&gt;16000000,25,IF(AF139&gt;8000000,24,IF(AF139&gt;4000000,23,IF(AF139&gt;2000000,22,IF(AF139&gt;1000000,21,IF(AF139&gt;500000,20,IF(AF139&gt;250000,19,IF(AF139&gt;130000,18,IF(AF139&gt;64000,17,IF(AF139&gt;32000,16,IF(AF139&gt;16000,15,IF(AF139&gt;8000,14,IF(AF139&gt;4000,13,IF(AF139&gt;2000,12,IF(AF139&gt;1000,11,IF(AF139&gt;500,10,IF(AF139&gt;250,9,IF(AF139&gt;130,8,IF(AF139&gt;64,7,IF(AF139&gt;32,6,IF(AF139&gt;16,5,IF(AF139&gt;8,4,IF(AF139&gt;4,3,IF(AF139&gt;2,2,IF(AF139&gt;1,1,IF(AF139&gt;0.5,0,IF(AF139=0,0)))))))))))))))))))))))))))))),"")</f>
        <v/>
      </c>
      <c r="AG152" s="47" t="str">
        <f aca="false">IF(AG139&lt;&gt;"",IF(AG139&gt;130000000,28,IF(AG139&gt;64000000,27,IF(AG139&gt;320000000,26,IF(AG139&gt;16000000,25,IF(AG139&gt;8000000,24,IF(AG139&gt;4000000,23,IF(AG139&gt;2000000,22,IF(AG139&gt;1000000,21,IF(AG139&gt;500000,20,IF(AG139&gt;250000,19,IF(AG139&gt;130000,18,IF(AG139&gt;64000,17,IF(AG139&gt;32000,16,IF(AG139&gt;16000,15,IF(AG139&gt;8000,14,IF(AG139&gt;4000,13,IF(AG139&gt;2000,12,IF(AG139&gt;1000,11,IF(AG139&gt;500,10,IF(AG139&gt;250,9,IF(AG139&gt;130,8,IF(AG139&gt;64,7,IF(AG139&gt;32,6,IF(AG139&gt;16,5,IF(AG139&gt;8,4,IF(AG139&gt;4,3,IF(AG139&gt;2,2,IF(AG139&gt;1,1,IF(AG139&gt;0.5,0,IF(AG139=0,0)))))))))))))))))))))))))))))),"")</f>
        <v/>
      </c>
      <c r="AH152" s="47" t="str">
        <f aca="false">IF(AH139&lt;&gt;"",IF(AH139&gt;130000000,28,IF(AH139&gt;64000000,27,IF(AH139&gt;320000000,26,IF(AH139&gt;16000000,25,IF(AH139&gt;8000000,24,IF(AH139&gt;4000000,23,IF(AH139&gt;2000000,22,IF(AH139&gt;1000000,21,IF(AH139&gt;500000,20,IF(AH139&gt;250000,19,IF(AH139&gt;130000,18,IF(AH139&gt;64000,17,IF(AH139&gt;32000,16,IF(AH139&gt;16000,15,IF(AH139&gt;8000,14,IF(AH139&gt;4000,13,IF(AH139&gt;2000,12,IF(AH139&gt;1000,11,IF(AH139&gt;500,10,IF(AH139&gt;250,9,IF(AH139&gt;130,8,IF(AH139&gt;64,7,IF(AH139&gt;32,6,IF(AH139&gt;16,5,IF(AH139&gt;8,4,IF(AH139&gt;4,3,IF(AH139&gt;2,2,IF(AH139&gt;1,1,IF(AH139&gt;0.5,0,IF(AH139=0,0)))))))))))))))))))))))))))))),"")</f>
        <v/>
      </c>
      <c r="AI152" s="47" t="str">
        <f aca="false">IF(AI139&lt;&gt;"",IF(AI139&gt;130000000,28,IF(AI139&gt;64000000,27,IF(AI139&gt;320000000,26,IF(AI139&gt;16000000,25,IF(AI139&gt;8000000,24,IF(AI139&gt;4000000,23,IF(AI139&gt;2000000,22,IF(AI139&gt;1000000,21,IF(AI139&gt;500000,20,IF(AI139&gt;250000,19,IF(AI139&gt;130000,18,IF(AI139&gt;64000,17,IF(AI139&gt;32000,16,IF(AI139&gt;16000,15,IF(AI139&gt;8000,14,IF(AI139&gt;4000,13,IF(AI139&gt;2000,12,IF(AI139&gt;1000,11,IF(AI139&gt;500,10,IF(AI139&gt;250,9,IF(AI139&gt;130,8,IF(AI139&gt;64,7,IF(AI139&gt;32,6,IF(AI139&gt;16,5,IF(AI139&gt;8,4,IF(AI139&gt;4,3,IF(AI139&gt;2,2,IF(AI139&gt;1,1,IF(AI139&gt;0.5,0,IF(AI139=0,0)))))))))))))))))))))))))))))),"")</f>
        <v/>
      </c>
      <c r="AJ152" s="47" t="str">
        <f aca="false">IF(AJ139&lt;&gt;"",IF(AJ139&gt;130000000,28,IF(AJ139&gt;64000000,27,IF(AJ139&gt;320000000,26,IF(AJ139&gt;16000000,25,IF(AJ139&gt;8000000,24,IF(AJ139&gt;4000000,23,IF(AJ139&gt;2000000,22,IF(AJ139&gt;1000000,21,IF(AJ139&gt;500000,20,IF(AJ139&gt;250000,19,IF(AJ139&gt;130000,18,IF(AJ139&gt;64000,17,IF(AJ139&gt;32000,16,IF(AJ139&gt;16000,15,IF(AJ139&gt;8000,14,IF(AJ139&gt;4000,13,IF(AJ139&gt;2000,12,IF(AJ139&gt;1000,11,IF(AJ139&gt;500,10,IF(AJ139&gt;250,9,IF(AJ139&gt;130,8,IF(AJ139&gt;64,7,IF(AJ139&gt;32,6,IF(AJ139&gt;16,5,IF(AJ139&gt;8,4,IF(AJ139&gt;4,3,IF(AJ139&gt;2,2,IF(AJ139&gt;1,1,IF(AJ139&gt;0.5,0,IF(AJ139=0,0)))))))))))))))))))))))))))))),"")</f>
        <v/>
      </c>
      <c r="AK152" s="74" t="str">
        <f aca="false">IF(AK139&lt;&gt;"",IF(AK139&gt;130000000,28,IF(AK139&gt;64000000,27,IF(AK139&gt;320000000,26,IF(AK139&gt;16000000,25,IF(AK139&gt;8000000,24,IF(AK139&gt;4000000,23,IF(AK139&gt;2000000,22,IF(AK139&gt;1000000,21,IF(AK139&gt;500000,20,IF(AK139&gt;250000,19,IF(AK139&gt;130000,18,IF(AK139&gt;64000,17,IF(AK139&gt;32000,16,IF(AK139&gt;16000,15,IF(AK139&gt;8000,14,IF(AK139&gt;4000,13,IF(AK139&gt;2000,12,IF(AK139&gt;1000,11,IF(AK139&gt;500,10,IF(AK139&gt;250,9,IF(AK139&gt;130,8,IF(AK139&gt;64,7,IF(AK139&gt;32,6,IF(AK139&gt;16,5,IF(AK139&gt;8,4,IF(AK139&gt;4,3,IF(AK139&gt;2,2,IF(AK139&gt;1,1,IF(AK139&gt;0.5,0,IF(AK139=0,0)))))))))))))))))))))))))))))),"")</f>
        <v/>
      </c>
      <c r="AL152" s="3"/>
      <c r="AM152" s="4"/>
      <c r="AN152" s="4"/>
      <c r="AO152" s="4"/>
      <c r="AP152" s="4"/>
      <c r="AQ152" s="4"/>
      <c r="AR152" s="61"/>
    </row>
    <row r="153" s="30" customFormat="true" ht="13.8" hidden="false" customHeight="false" outlineLevel="0" collapsed="false">
      <c r="A153" s="31" t="s">
        <v>291</v>
      </c>
      <c r="B153" s="29" t="s">
        <v>17</v>
      </c>
      <c r="C153" s="30" t="s">
        <v>106</v>
      </c>
      <c r="D153" s="30" t="s">
        <v>292</v>
      </c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90"/>
      <c r="AL153" s="33"/>
      <c r="AM153" s="34"/>
      <c r="AN153" s="34"/>
      <c r="AO153" s="34"/>
      <c r="AP153" s="34"/>
      <c r="AQ153" s="34"/>
      <c r="AR153" s="35"/>
    </row>
    <row r="154" s="37" customFormat="true" ht="13.8" hidden="false" customHeight="false" outlineLevel="0" collapsed="false">
      <c r="A154" s="31"/>
      <c r="B154" s="36" t="s">
        <v>17</v>
      </c>
      <c r="C154" s="37" t="s">
        <v>108</v>
      </c>
      <c r="D154" s="37" t="s">
        <v>293</v>
      </c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9"/>
      <c r="AL154" s="33"/>
      <c r="AM154" s="34"/>
      <c r="AN154" s="34"/>
      <c r="AO154" s="34"/>
      <c r="AP154" s="34"/>
      <c r="AQ154" s="34"/>
      <c r="AR154" s="40"/>
    </row>
    <row r="155" s="37" customFormat="true" ht="13.8" hidden="false" customHeight="false" outlineLevel="0" collapsed="false">
      <c r="A155" s="31"/>
      <c r="B155" s="36" t="s">
        <v>17</v>
      </c>
      <c r="C155" s="37" t="s">
        <v>110</v>
      </c>
      <c r="D155" s="37" t="s">
        <v>294</v>
      </c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9"/>
      <c r="AL155" s="33"/>
      <c r="AM155" s="34"/>
      <c r="AN155" s="34"/>
      <c r="AO155" s="34"/>
      <c r="AP155" s="34"/>
      <c r="AQ155" s="34"/>
      <c r="AR155" s="40"/>
    </row>
    <row r="156" s="37" customFormat="true" ht="13.8" hidden="false" customHeight="false" outlineLevel="0" collapsed="false">
      <c r="A156" s="31"/>
      <c r="B156" s="36" t="s">
        <v>17</v>
      </c>
      <c r="C156" s="37" t="s">
        <v>112</v>
      </c>
      <c r="D156" s="37" t="s">
        <v>295</v>
      </c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9"/>
      <c r="AL156" s="33"/>
      <c r="AM156" s="34"/>
      <c r="AN156" s="34"/>
      <c r="AO156" s="34"/>
      <c r="AP156" s="34"/>
      <c r="AQ156" s="34"/>
      <c r="AR156" s="40"/>
    </row>
    <row r="157" s="37" customFormat="true" ht="13.8" hidden="false" customHeight="false" outlineLevel="0" collapsed="false">
      <c r="A157" s="31"/>
      <c r="B157" s="36" t="s">
        <v>17</v>
      </c>
      <c r="C157" s="37" t="s">
        <v>114</v>
      </c>
      <c r="D157" s="37" t="s">
        <v>296</v>
      </c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9"/>
      <c r="AL157" s="33"/>
      <c r="AM157" s="34"/>
      <c r="AN157" s="34"/>
      <c r="AO157" s="34"/>
      <c r="AP157" s="34"/>
      <c r="AQ157" s="34"/>
      <c r="AR157" s="40"/>
    </row>
    <row r="158" s="37" customFormat="true" ht="13.8" hidden="false" customHeight="false" outlineLevel="0" collapsed="false">
      <c r="A158" s="31"/>
      <c r="B158" s="36" t="s">
        <v>17</v>
      </c>
      <c r="C158" s="37" t="s">
        <v>116</v>
      </c>
      <c r="D158" s="37" t="s">
        <v>297</v>
      </c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9"/>
      <c r="AL158" s="33"/>
      <c r="AM158" s="34"/>
      <c r="AN158" s="34"/>
      <c r="AO158" s="34"/>
      <c r="AP158" s="34"/>
      <c r="AQ158" s="34"/>
      <c r="AR158" s="40"/>
    </row>
    <row r="159" s="37" customFormat="true" ht="13.8" hidden="false" customHeight="false" outlineLevel="0" collapsed="false">
      <c r="A159" s="31"/>
      <c r="B159" s="36" t="s">
        <v>17</v>
      </c>
      <c r="C159" s="37" t="s">
        <v>118</v>
      </c>
      <c r="D159" s="37" t="s">
        <v>298</v>
      </c>
      <c r="E159" s="41" t="str">
        <f aca="false">IF(E153&lt;&gt;"",SUM(E153:E158),"")</f>
        <v/>
      </c>
      <c r="F159" s="41" t="str">
        <f aca="false">IF(F153&lt;&gt;"",SUM(F153:F158),"")</f>
        <v/>
      </c>
      <c r="G159" s="41" t="str">
        <f aca="false">IF(G153&lt;&gt;"",SUM(G153:G158),"")</f>
        <v/>
      </c>
      <c r="H159" s="41" t="str">
        <f aca="false">IF(H153&lt;&gt;"",SUM(H153:H158),"")</f>
        <v/>
      </c>
      <c r="I159" s="41" t="str">
        <f aca="false">IF(I153&lt;&gt;"",SUM(I153:I158),"")</f>
        <v/>
      </c>
      <c r="J159" s="41" t="str">
        <f aca="false">IF(J153&lt;&gt;"",SUM(J153:J158),"")</f>
        <v/>
      </c>
      <c r="K159" s="41" t="str">
        <f aca="false">IF(K153&lt;&gt;"",SUM(K153:K158),"")</f>
        <v/>
      </c>
      <c r="L159" s="41" t="str">
        <f aca="false">IF(L153&lt;&gt;"",SUM(L153:L158),"")</f>
        <v/>
      </c>
      <c r="M159" s="41" t="str">
        <f aca="false">IF(M153&lt;&gt;"",SUM(M153:M158),"")</f>
        <v/>
      </c>
      <c r="N159" s="41" t="str">
        <f aca="false">IF(N153&lt;&gt;"",SUM(N153:N158),"")</f>
        <v/>
      </c>
      <c r="O159" s="41" t="str">
        <f aca="false">IF(O153&lt;&gt;"",SUM(O153:O158),"")</f>
        <v/>
      </c>
      <c r="P159" s="41" t="str">
        <f aca="false">IF(P153&lt;&gt;"",SUM(P153:P158),"")</f>
        <v/>
      </c>
      <c r="Q159" s="41" t="str">
        <f aca="false">IF(Q153&lt;&gt;"",SUM(Q153:Q158),"")</f>
        <v/>
      </c>
      <c r="R159" s="41" t="str">
        <f aca="false">IF(R153&lt;&gt;"",SUM(R153:R158),"")</f>
        <v/>
      </c>
      <c r="S159" s="41" t="str">
        <f aca="false">IF(S153&lt;&gt;"",SUM(S153:S158),"")</f>
        <v/>
      </c>
      <c r="T159" s="41" t="str">
        <f aca="false">IF(T153&lt;&gt;"",SUM(T153:T158),"")</f>
        <v/>
      </c>
      <c r="U159" s="41" t="str">
        <f aca="false">IF(U153&lt;&gt;"",SUM(U153:U158),"")</f>
        <v/>
      </c>
      <c r="V159" s="41" t="str">
        <f aca="false">IF(V153&lt;&gt;"",SUM(V153:V158),"")</f>
        <v/>
      </c>
      <c r="W159" s="41" t="str">
        <f aca="false">IF(W153&lt;&gt;"",SUM(W153:W158),"")</f>
        <v/>
      </c>
      <c r="X159" s="41" t="str">
        <f aca="false">IF(X153&lt;&gt;"",SUM(X153:X158),"")</f>
        <v/>
      </c>
      <c r="Y159" s="41" t="str">
        <f aca="false">IF(Y153&lt;&gt;"",SUM(Y153:Y158),"")</f>
        <v/>
      </c>
      <c r="Z159" s="41" t="str">
        <f aca="false">IF(Z153&lt;&gt;"",SUM(Z153:Z158),"")</f>
        <v/>
      </c>
      <c r="AA159" s="41" t="str">
        <f aca="false">IF(AA153&lt;&gt;"",SUM(AA153:AA158),"")</f>
        <v/>
      </c>
      <c r="AB159" s="41" t="str">
        <f aca="false">IF(AB153&lt;&gt;"",SUM(AB153:AB158),"")</f>
        <v/>
      </c>
      <c r="AC159" s="41" t="str">
        <f aca="false">IF(AC153&lt;&gt;"",SUM(AC153:AC158),"")</f>
        <v/>
      </c>
      <c r="AD159" s="41" t="str">
        <f aca="false">IF(AD153&lt;&gt;"",SUM(AD153:AD158),"")</f>
        <v/>
      </c>
      <c r="AE159" s="41" t="str">
        <f aca="false">IF(AE153&lt;&gt;"",SUM(AE153:AE158),"")</f>
        <v/>
      </c>
      <c r="AF159" s="41" t="str">
        <f aca="false">IF(AF153&lt;&gt;"",SUM(AF153:AF158),"")</f>
        <v/>
      </c>
      <c r="AG159" s="41" t="str">
        <f aca="false">IF(AG153&lt;&gt;"",SUM(AG153:AG158),"")</f>
        <v/>
      </c>
      <c r="AH159" s="41" t="str">
        <f aca="false">IF(AH153&lt;&gt;"",SUM(AH153:AH158),"")</f>
        <v/>
      </c>
      <c r="AI159" s="41" t="str">
        <f aca="false">IF(AI153&lt;&gt;"",SUM(AI153:AI158),"")</f>
        <v/>
      </c>
      <c r="AJ159" s="41" t="str">
        <f aca="false">IF(AJ153&lt;&gt;"",SUM(AJ153:AJ158),"")</f>
        <v/>
      </c>
      <c r="AK159" s="42" t="str">
        <f aca="false">IF(AK153&lt;&gt;"",SUM(AK153:AK158),"")</f>
        <v/>
      </c>
      <c r="AL159" s="33"/>
      <c r="AM159" s="34"/>
      <c r="AN159" s="34"/>
      <c r="AO159" s="34"/>
      <c r="AP159" s="34"/>
      <c r="AQ159" s="34"/>
      <c r="AR159" s="40"/>
    </row>
    <row r="160" s="37" customFormat="true" ht="13.8" hidden="false" customHeight="false" outlineLevel="0" collapsed="false">
      <c r="A160" s="31"/>
      <c r="B160" s="36" t="s">
        <v>17</v>
      </c>
      <c r="C160" s="37" t="s">
        <v>120</v>
      </c>
      <c r="D160" s="37" t="s">
        <v>299</v>
      </c>
      <c r="E160" s="43" t="str">
        <f aca="false">IF(E154&lt;&gt;"",SUM(E154:E158),"")</f>
        <v/>
      </c>
      <c r="F160" s="43" t="str">
        <f aca="false">IF(F154&lt;&gt;"",SUM(F154:F158),"")</f>
        <v/>
      </c>
      <c r="G160" s="43" t="str">
        <f aca="false">IF(G154&lt;&gt;"",SUM(G154:G158),"")</f>
        <v/>
      </c>
      <c r="H160" s="43" t="str">
        <f aca="false">IF(H154&lt;&gt;"",SUM(H154:H158),"")</f>
        <v/>
      </c>
      <c r="I160" s="43" t="str">
        <f aca="false">IF(I154&lt;&gt;"",SUM(I154:I158),"")</f>
        <v/>
      </c>
      <c r="J160" s="43" t="str">
        <f aca="false">IF(J154&lt;&gt;"",SUM(J154:J158),"")</f>
        <v/>
      </c>
      <c r="K160" s="43" t="str">
        <f aca="false">IF(K154&lt;&gt;"",SUM(K154:K158),"")</f>
        <v/>
      </c>
      <c r="L160" s="43" t="str">
        <f aca="false">IF(L154&lt;&gt;"",SUM(L154:L158),"")</f>
        <v/>
      </c>
      <c r="M160" s="43" t="str">
        <f aca="false">IF(M154&lt;&gt;"",SUM(M154:M158),"")</f>
        <v/>
      </c>
      <c r="N160" s="43" t="str">
        <f aca="false">IF(N154&lt;&gt;"",SUM(N154:N158),"")</f>
        <v/>
      </c>
      <c r="O160" s="43" t="str">
        <f aca="false">IF(O154&lt;&gt;"",SUM(O154:O158),"")</f>
        <v/>
      </c>
      <c r="P160" s="43" t="str">
        <f aca="false">IF(P154&lt;&gt;"",SUM(P154:P158),"")</f>
        <v/>
      </c>
      <c r="Q160" s="43" t="str">
        <f aca="false">IF(Q154&lt;&gt;"",SUM(Q154:Q158),"")</f>
        <v/>
      </c>
      <c r="R160" s="43" t="str">
        <f aca="false">IF(R154&lt;&gt;"",SUM(R154:R158),"")</f>
        <v/>
      </c>
      <c r="S160" s="43" t="str">
        <f aca="false">IF(S154&lt;&gt;"",SUM(S154:S158),"")</f>
        <v/>
      </c>
      <c r="T160" s="43" t="str">
        <f aca="false">IF(T154&lt;&gt;"",SUM(T154:T158),"")</f>
        <v/>
      </c>
      <c r="U160" s="43" t="str">
        <f aca="false">IF(U154&lt;&gt;"",SUM(U154:U158),"")</f>
        <v/>
      </c>
      <c r="V160" s="43" t="str">
        <f aca="false">IF(V154&lt;&gt;"",SUM(V154:V158),"")</f>
        <v/>
      </c>
      <c r="W160" s="43" t="str">
        <f aca="false">IF(W154&lt;&gt;"",SUM(W154:W158),"")</f>
        <v/>
      </c>
      <c r="X160" s="43" t="str">
        <f aca="false">IF(X154&lt;&gt;"",SUM(X154:X158),"")</f>
        <v/>
      </c>
      <c r="Y160" s="43" t="str">
        <f aca="false">IF(Y154&lt;&gt;"",SUM(Y154:Y158),"")</f>
        <v/>
      </c>
      <c r="Z160" s="43" t="str">
        <f aca="false">IF(Z154&lt;&gt;"",SUM(Z154:Z158),"")</f>
        <v/>
      </c>
      <c r="AA160" s="43" t="str">
        <f aca="false">IF(AA154&lt;&gt;"",SUM(AA154:AA158),"")</f>
        <v/>
      </c>
      <c r="AB160" s="43" t="str">
        <f aca="false">IF(AB154&lt;&gt;"",SUM(AB154:AB158),"")</f>
        <v/>
      </c>
      <c r="AC160" s="43" t="str">
        <f aca="false">IF(AC154&lt;&gt;"",SUM(AC154:AC158),"")</f>
        <v/>
      </c>
      <c r="AD160" s="43" t="str">
        <f aca="false">IF(AD154&lt;&gt;"",SUM(AD154:AD158),"")</f>
        <v/>
      </c>
      <c r="AE160" s="43" t="str">
        <f aca="false">IF(AE154&lt;&gt;"",SUM(AE154:AE158),"")</f>
        <v/>
      </c>
      <c r="AF160" s="43" t="str">
        <f aca="false">IF(AF154&lt;&gt;"",SUM(AF154:AF158),"")</f>
        <v/>
      </c>
      <c r="AG160" s="43" t="str">
        <f aca="false">IF(AG154&lt;&gt;"",SUM(AG154:AG158),"")</f>
        <v/>
      </c>
      <c r="AH160" s="43" t="str">
        <f aca="false">IF(AH154&lt;&gt;"",SUM(AH154:AH158),"")</f>
        <v/>
      </c>
      <c r="AI160" s="43" t="str">
        <f aca="false">IF(AI154&lt;&gt;"",SUM(AI154:AI158),"")</f>
        <v/>
      </c>
      <c r="AJ160" s="43" t="str">
        <f aca="false">IF(AJ154&lt;&gt;"",SUM(AJ154:AJ158),"")</f>
        <v/>
      </c>
      <c r="AK160" s="44" t="str">
        <f aca="false">IF(AK154&lt;&gt;"",SUM(AK154:AK158),"")</f>
        <v/>
      </c>
      <c r="AL160" s="33"/>
      <c r="AM160" s="34"/>
      <c r="AN160" s="34"/>
      <c r="AO160" s="34"/>
      <c r="AP160" s="34"/>
      <c r="AQ160" s="34"/>
      <c r="AR160" s="40"/>
    </row>
    <row r="161" s="37" customFormat="true" ht="13.8" hidden="false" customHeight="false" outlineLevel="0" collapsed="false">
      <c r="A161" s="31"/>
      <c r="B161" s="36" t="s">
        <v>17</v>
      </c>
      <c r="C161" s="37" t="s">
        <v>122</v>
      </c>
      <c r="D161" s="37" t="s">
        <v>300</v>
      </c>
      <c r="E161" s="43" t="str">
        <f aca="false">IF(E155&lt;&gt;"",SUM(E155:E158),"")</f>
        <v/>
      </c>
      <c r="F161" s="43" t="str">
        <f aca="false">IF(F155&lt;&gt;"",SUM(F155:F158),"")</f>
        <v/>
      </c>
      <c r="G161" s="43" t="str">
        <f aca="false">IF(G155&lt;&gt;"",SUM(G155:G158),"")</f>
        <v/>
      </c>
      <c r="H161" s="43" t="str">
        <f aca="false">IF(H155&lt;&gt;"",SUM(H155:H158),"")</f>
        <v/>
      </c>
      <c r="I161" s="43" t="str">
        <f aca="false">IF(I155&lt;&gt;"",SUM(I155:I158),"")</f>
        <v/>
      </c>
      <c r="J161" s="43" t="str">
        <f aca="false">IF(J155&lt;&gt;"",SUM(J155:J158),"")</f>
        <v/>
      </c>
      <c r="K161" s="43" t="str">
        <f aca="false">IF(K155&lt;&gt;"",SUM(K155:K158),"")</f>
        <v/>
      </c>
      <c r="L161" s="43" t="str">
        <f aca="false">IF(L155&lt;&gt;"",SUM(L155:L158),"")</f>
        <v/>
      </c>
      <c r="M161" s="43" t="str">
        <f aca="false">IF(M155&lt;&gt;"",SUM(M155:M158),"")</f>
        <v/>
      </c>
      <c r="N161" s="43" t="str">
        <f aca="false">IF(N155&lt;&gt;"",SUM(N155:N158),"")</f>
        <v/>
      </c>
      <c r="O161" s="43" t="str">
        <f aca="false">IF(O155&lt;&gt;"",SUM(O155:O158),"")</f>
        <v/>
      </c>
      <c r="P161" s="43" t="str">
        <f aca="false">IF(P155&lt;&gt;"",SUM(P155:P158),"")</f>
        <v/>
      </c>
      <c r="Q161" s="43" t="str">
        <f aca="false">IF(Q155&lt;&gt;"",SUM(Q155:Q158),"")</f>
        <v/>
      </c>
      <c r="R161" s="43" t="str">
        <f aca="false">IF(R155&lt;&gt;"",SUM(R155:R158),"")</f>
        <v/>
      </c>
      <c r="S161" s="43" t="str">
        <f aca="false">IF(S155&lt;&gt;"",SUM(S155:S158),"")</f>
        <v/>
      </c>
      <c r="T161" s="43" t="str">
        <f aca="false">IF(T155&lt;&gt;"",SUM(T155:T158),"")</f>
        <v/>
      </c>
      <c r="U161" s="43" t="str">
        <f aca="false">IF(U155&lt;&gt;"",SUM(U155:U158),"")</f>
        <v/>
      </c>
      <c r="V161" s="43" t="str">
        <f aca="false">IF(V155&lt;&gt;"",SUM(V155:V158),"")</f>
        <v/>
      </c>
      <c r="W161" s="43" t="str">
        <f aca="false">IF(W155&lt;&gt;"",SUM(W155:W158),"")</f>
        <v/>
      </c>
      <c r="X161" s="43" t="str">
        <f aca="false">IF(X155&lt;&gt;"",SUM(X155:X158),"")</f>
        <v/>
      </c>
      <c r="Y161" s="43" t="str">
        <f aca="false">IF(Y155&lt;&gt;"",SUM(Y155:Y158),"")</f>
        <v/>
      </c>
      <c r="Z161" s="43" t="str">
        <f aca="false">IF(Z155&lt;&gt;"",SUM(Z155:Z158),"")</f>
        <v/>
      </c>
      <c r="AA161" s="43" t="str">
        <f aca="false">IF(AA155&lt;&gt;"",SUM(AA155:AA158),"")</f>
        <v/>
      </c>
      <c r="AB161" s="43" t="str">
        <f aca="false">IF(AB155&lt;&gt;"",SUM(AB155:AB158),"")</f>
        <v/>
      </c>
      <c r="AC161" s="43" t="str">
        <f aca="false">IF(AC155&lt;&gt;"",SUM(AC155:AC158),"")</f>
        <v/>
      </c>
      <c r="AD161" s="43" t="str">
        <f aca="false">IF(AD155&lt;&gt;"",SUM(AD155:AD158),"")</f>
        <v/>
      </c>
      <c r="AE161" s="43" t="str">
        <f aca="false">IF(AE155&lt;&gt;"",SUM(AE155:AE158),"")</f>
        <v/>
      </c>
      <c r="AF161" s="43" t="str">
        <f aca="false">IF(AF155&lt;&gt;"",SUM(AF155:AF158),"")</f>
        <v/>
      </c>
      <c r="AG161" s="43" t="str">
        <f aca="false">IF(AG155&lt;&gt;"",SUM(AG155:AG158),"")</f>
        <v/>
      </c>
      <c r="AH161" s="43" t="str">
        <f aca="false">IF(AH155&lt;&gt;"",SUM(AH155:AH158),"")</f>
        <v/>
      </c>
      <c r="AI161" s="43" t="str">
        <f aca="false">IF(AI155&lt;&gt;"",SUM(AI155:AI158),"")</f>
        <v/>
      </c>
      <c r="AJ161" s="43" t="str">
        <f aca="false">IF(AJ155&lt;&gt;"",SUM(AJ155:AJ158),"")</f>
        <v/>
      </c>
      <c r="AK161" s="44" t="str">
        <f aca="false">IF(AK155&lt;&gt;"",SUM(AK155:AK158),"")</f>
        <v/>
      </c>
      <c r="AL161" s="33"/>
      <c r="AM161" s="34"/>
      <c r="AN161" s="34"/>
      <c r="AO161" s="34"/>
      <c r="AP161" s="34"/>
      <c r="AQ161" s="34"/>
      <c r="AR161" s="40"/>
    </row>
    <row r="162" s="37" customFormat="true" ht="13.8" hidden="false" customHeight="false" outlineLevel="0" collapsed="false">
      <c r="A162" s="31"/>
      <c r="B162" s="36" t="s">
        <v>17</v>
      </c>
      <c r="C162" s="37" t="s">
        <v>124</v>
      </c>
      <c r="D162" s="37" t="s">
        <v>301</v>
      </c>
      <c r="E162" s="43" t="str">
        <f aca="false">IF(E156&lt;&gt;"",SUM(E156:E158),"")</f>
        <v/>
      </c>
      <c r="F162" s="43" t="str">
        <f aca="false">IF(F156&lt;&gt;"",SUM(F156:F158),"")</f>
        <v/>
      </c>
      <c r="G162" s="43" t="str">
        <f aca="false">IF(G156&lt;&gt;"",SUM(G156:G158),"")</f>
        <v/>
      </c>
      <c r="H162" s="43" t="str">
        <f aca="false">IF(H156&lt;&gt;"",SUM(H156:H158),"")</f>
        <v/>
      </c>
      <c r="I162" s="43" t="str">
        <f aca="false">IF(I156&lt;&gt;"",SUM(I156:I158),"")</f>
        <v/>
      </c>
      <c r="J162" s="43" t="str">
        <f aca="false">IF(J156&lt;&gt;"",SUM(J156:J158),"")</f>
        <v/>
      </c>
      <c r="K162" s="43" t="str">
        <f aca="false">IF(K156&lt;&gt;"",SUM(K156:K158),"")</f>
        <v/>
      </c>
      <c r="L162" s="43" t="str">
        <f aca="false">IF(L156&lt;&gt;"",SUM(L156:L158),"")</f>
        <v/>
      </c>
      <c r="M162" s="43" t="str">
        <f aca="false">IF(M156&lt;&gt;"",SUM(M156:M158),"")</f>
        <v/>
      </c>
      <c r="N162" s="43" t="str">
        <f aca="false">IF(N156&lt;&gt;"",SUM(N156:N158),"")</f>
        <v/>
      </c>
      <c r="O162" s="43" t="str">
        <f aca="false">IF(O156&lt;&gt;"",SUM(O156:O158),"")</f>
        <v/>
      </c>
      <c r="P162" s="43" t="str">
        <f aca="false">IF(P156&lt;&gt;"",SUM(P156:P158),"")</f>
        <v/>
      </c>
      <c r="Q162" s="43" t="str">
        <f aca="false">IF(Q156&lt;&gt;"",SUM(Q156:Q158),"")</f>
        <v/>
      </c>
      <c r="R162" s="43" t="str">
        <f aca="false">IF(R156&lt;&gt;"",SUM(R156:R158),"")</f>
        <v/>
      </c>
      <c r="S162" s="43" t="str">
        <f aca="false">IF(S156&lt;&gt;"",SUM(S156:S158),"")</f>
        <v/>
      </c>
      <c r="T162" s="43" t="str">
        <f aca="false">IF(T156&lt;&gt;"",SUM(T156:T158),"")</f>
        <v/>
      </c>
      <c r="U162" s="43" t="str">
        <f aca="false">IF(U156&lt;&gt;"",SUM(U156:U158),"")</f>
        <v/>
      </c>
      <c r="V162" s="43" t="str">
        <f aca="false">IF(V156&lt;&gt;"",SUM(V156:V158),"")</f>
        <v/>
      </c>
      <c r="W162" s="43" t="str">
        <f aca="false">IF(W156&lt;&gt;"",SUM(W156:W158),"")</f>
        <v/>
      </c>
      <c r="X162" s="43" t="str">
        <f aca="false">IF(X156&lt;&gt;"",SUM(X156:X158),"")</f>
        <v/>
      </c>
      <c r="Y162" s="43" t="str">
        <f aca="false">IF(Y156&lt;&gt;"",SUM(Y156:Y158),"")</f>
        <v/>
      </c>
      <c r="Z162" s="43" t="str">
        <f aca="false">IF(Z156&lt;&gt;"",SUM(Z156:Z158),"")</f>
        <v/>
      </c>
      <c r="AA162" s="43" t="str">
        <f aca="false">IF(AA156&lt;&gt;"",SUM(AA156:AA158),"")</f>
        <v/>
      </c>
      <c r="AB162" s="43" t="str">
        <f aca="false">IF(AB156&lt;&gt;"",SUM(AB156:AB158),"")</f>
        <v/>
      </c>
      <c r="AC162" s="43" t="str">
        <f aca="false">IF(AC156&lt;&gt;"",SUM(AC156:AC158),"")</f>
        <v/>
      </c>
      <c r="AD162" s="43" t="str">
        <f aca="false">IF(AD156&lt;&gt;"",SUM(AD156:AD158),"")</f>
        <v/>
      </c>
      <c r="AE162" s="43" t="str">
        <f aca="false">IF(AE156&lt;&gt;"",SUM(AE156:AE158),"")</f>
        <v/>
      </c>
      <c r="AF162" s="43" t="str">
        <f aca="false">IF(AF156&lt;&gt;"",SUM(AF156:AF158),"")</f>
        <v/>
      </c>
      <c r="AG162" s="43" t="str">
        <f aca="false">IF(AG156&lt;&gt;"",SUM(AG156:AG158),"")</f>
        <v/>
      </c>
      <c r="AH162" s="43" t="str">
        <f aca="false">IF(AH156&lt;&gt;"",SUM(AH156:AH158),"")</f>
        <v/>
      </c>
      <c r="AI162" s="43" t="str">
        <f aca="false">IF(AI156&lt;&gt;"",SUM(AI156:AI158),"")</f>
        <v/>
      </c>
      <c r="AJ162" s="43" t="str">
        <f aca="false">IF(AJ156&lt;&gt;"",SUM(AJ156:AJ158),"")</f>
        <v/>
      </c>
      <c r="AK162" s="44" t="str">
        <f aca="false">IF(AK156&lt;&gt;"",SUM(AK156:AK158),"")</f>
        <v/>
      </c>
      <c r="AL162" s="33"/>
      <c r="AM162" s="34"/>
      <c r="AN162" s="34"/>
      <c r="AO162" s="34"/>
      <c r="AP162" s="34"/>
      <c r="AQ162" s="34"/>
      <c r="AR162" s="40"/>
    </row>
    <row r="163" s="37" customFormat="true" ht="13.8" hidden="false" customHeight="false" outlineLevel="0" collapsed="false">
      <c r="A163" s="31"/>
      <c r="B163" s="36" t="s">
        <v>17</v>
      </c>
      <c r="C163" s="37" t="s">
        <v>126</v>
      </c>
      <c r="D163" s="37" t="s">
        <v>302</v>
      </c>
      <c r="E163" s="43" t="str">
        <f aca="false">IF(E157&lt;&gt;"",SUM(E157:E158),"")</f>
        <v/>
      </c>
      <c r="F163" s="43" t="str">
        <f aca="false">IF(F157&lt;&gt;"",SUM(F157:F158),"")</f>
        <v/>
      </c>
      <c r="G163" s="43" t="str">
        <f aca="false">IF(G157&lt;&gt;"",SUM(G157:G158),"")</f>
        <v/>
      </c>
      <c r="H163" s="43" t="str">
        <f aca="false">IF(H157&lt;&gt;"",SUM(H157:H158),"")</f>
        <v/>
      </c>
      <c r="I163" s="43" t="str">
        <f aca="false">IF(I157&lt;&gt;"",SUM(I157:I158),"")</f>
        <v/>
      </c>
      <c r="J163" s="43" t="str">
        <f aca="false">IF(J157&lt;&gt;"",SUM(J157:J158),"")</f>
        <v/>
      </c>
      <c r="K163" s="43" t="str">
        <f aca="false">IF(K157&lt;&gt;"",SUM(K157:K158),"")</f>
        <v/>
      </c>
      <c r="L163" s="43" t="str">
        <f aca="false">IF(L157&lt;&gt;"",SUM(L157:L158),"")</f>
        <v/>
      </c>
      <c r="M163" s="43" t="str">
        <f aca="false">IF(M157&lt;&gt;"",SUM(M157:M158),"")</f>
        <v/>
      </c>
      <c r="N163" s="43" t="str">
        <f aca="false">IF(N157&lt;&gt;"",SUM(N157:N158),"")</f>
        <v/>
      </c>
      <c r="O163" s="43" t="str">
        <f aca="false">IF(O157&lt;&gt;"",SUM(O157:O158),"")</f>
        <v/>
      </c>
      <c r="P163" s="43" t="str">
        <f aca="false">IF(P157&lt;&gt;"",SUM(P157:P158),"")</f>
        <v/>
      </c>
      <c r="Q163" s="43" t="str">
        <f aca="false">IF(Q157&lt;&gt;"",SUM(Q157:Q158),"")</f>
        <v/>
      </c>
      <c r="R163" s="43" t="str">
        <f aca="false">IF(R157&lt;&gt;"",SUM(R157:R158),"")</f>
        <v/>
      </c>
      <c r="S163" s="43" t="str">
        <f aca="false">IF(S157&lt;&gt;"",SUM(S157:S158),"")</f>
        <v/>
      </c>
      <c r="T163" s="43" t="str">
        <f aca="false">IF(T157&lt;&gt;"",SUM(T157:T158),"")</f>
        <v/>
      </c>
      <c r="U163" s="43" t="str">
        <f aca="false">IF(U157&lt;&gt;"",SUM(U157:U158),"")</f>
        <v/>
      </c>
      <c r="V163" s="43" t="str">
        <f aca="false">IF(V157&lt;&gt;"",SUM(V157:V158),"")</f>
        <v/>
      </c>
      <c r="W163" s="43" t="str">
        <f aca="false">IF(W157&lt;&gt;"",SUM(W157:W158),"")</f>
        <v/>
      </c>
      <c r="X163" s="43" t="str">
        <f aca="false">IF(X157&lt;&gt;"",SUM(X157:X158),"")</f>
        <v/>
      </c>
      <c r="Y163" s="43" t="str">
        <f aca="false">IF(Y157&lt;&gt;"",SUM(Y157:Y158),"")</f>
        <v/>
      </c>
      <c r="Z163" s="43" t="str">
        <f aca="false">IF(Z157&lt;&gt;"",SUM(Z157:Z158),"")</f>
        <v/>
      </c>
      <c r="AA163" s="43" t="str">
        <f aca="false">IF(AA157&lt;&gt;"",SUM(AA157:AA158),"")</f>
        <v/>
      </c>
      <c r="AB163" s="43" t="str">
        <f aca="false">IF(AB157&lt;&gt;"",SUM(AB157:AB158),"")</f>
        <v/>
      </c>
      <c r="AC163" s="43" t="str">
        <f aca="false">IF(AC157&lt;&gt;"",SUM(AC157:AC158),"")</f>
        <v/>
      </c>
      <c r="AD163" s="43" t="str">
        <f aca="false">IF(AD157&lt;&gt;"",SUM(AD157:AD158),"")</f>
        <v/>
      </c>
      <c r="AE163" s="43" t="str">
        <f aca="false">IF(AE157&lt;&gt;"",SUM(AE157:AE158),"")</f>
        <v/>
      </c>
      <c r="AF163" s="43" t="str">
        <f aca="false">IF(AF157&lt;&gt;"",SUM(AF157:AF158),"")</f>
        <v/>
      </c>
      <c r="AG163" s="43" t="str">
        <f aca="false">IF(AG157&lt;&gt;"",SUM(AG157:AG158),"")</f>
        <v/>
      </c>
      <c r="AH163" s="43" t="str">
        <f aca="false">IF(AH157&lt;&gt;"",SUM(AH157:AH158),"")</f>
        <v/>
      </c>
      <c r="AI163" s="43" t="str">
        <f aca="false">IF(AI157&lt;&gt;"",SUM(AI157:AI158),"")</f>
        <v/>
      </c>
      <c r="AJ163" s="43" t="str">
        <f aca="false">IF(AJ157&lt;&gt;"",SUM(AJ157:AJ158),"")</f>
        <v/>
      </c>
      <c r="AK163" s="44" t="str">
        <f aca="false">IF(AK157&lt;&gt;"",SUM(AK157:AK158),"")</f>
        <v/>
      </c>
      <c r="AL163" s="33"/>
      <c r="AM163" s="34"/>
      <c r="AN163" s="34"/>
      <c r="AO163" s="34"/>
      <c r="AP163" s="34"/>
      <c r="AQ163" s="34"/>
      <c r="AR163" s="40"/>
    </row>
    <row r="164" s="37" customFormat="true" ht="13.8" hidden="false" customHeight="false" outlineLevel="0" collapsed="false">
      <c r="A164" s="31"/>
      <c r="B164" s="36" t="s">
        <v>17</v>
      </c>
      <c r="C164" s="37" t="s">
        <v>116</v>
      </c>
      <c r="D164" s="37" t="s">
        <v>303</v>
      </c>
      <c r="E164" s="43" t="str">
        <f aca="false">IF(E158&lt;&gt;"",E158,"")</f>
        <v/>
      </c>
      <c r="F164" s="43" t="str">
        <f aca="false">IF(F158&lt;&gt;"",F158,"")</f>
        <v/>
      </c>
      <c r="G164" s="43" t="str">
        <f aca="false">IF(G158&lt;&gt;"",G158,"")</f>
        <v/>
      </c>
      <c r="H164" s="43" t="str">
        <f aca="false">IF(H158&lt;&gt;"",H158,"")</f>
        <v/>
      </c>
      <c r="I164" s="43" t="str">
        <f aca="false">IF(I158&lt;&gt;"",I158,"")</f>
        <v/>
      </c>
      <c r="J164" s="43" t="str">
        <f aca="false">IF(J158&lt;&gt;"",J158,"")</f>
        <v/>
      </c>
      <c r="K164" s="43" t="str">
        <f aca="false">IF(K158&lt;&gt;"",K158,"")</f>
        <v/>
      </c>
      <c r="L164" s="43" t="str">
        <f aca="false">IF(L158&lt;&gt;"",L158,"")</f>
        <v/>
      </c>
      <c r="M164" s="43" t="str">
        <f aca="false">IF(M158&lt;&gt;"",M158,"")</f>
        <v/>
      </c>
      <c r="N164" s="43" t="str">
        <f aca="false">IF(N158&lt;&gt;"",N158,"")</f>
        <v/>
      </c>
      <c r="O164" s="43" t="str">
        <f aca="false">IF(O158&lt;&gt;"",O158,"")</f>
        <v/>
      </c>
      <c r="P164" s="43" t="str">
        <f aca="false">IF(P158&lt;&gt;"",P158,"")</f>
        <v/>
      </c>
      <c r="Q164" s="43" t="str">
        <f aca="false">IF(Q158&lt;&gt;"",Q158,"")</f>
        <v/>
      </c>
      <c r="R164" s="43" t="str">
        <f aca="false">IF(R158&lt;&gt;"",R158,"")</f>
        <v/>
      </c>
      <c r="S164" s="43" t="str">
        <f aca="false">IF(S158&lt;&gt;"",S158,"")</f>
        <v/>
      </c>
      <c r="T164" s="43" t="str">
        <f aca="false">IF(T158&lt;&gt;"",T158,"")</f>
        <v/>
      </c>
      <c r="U164" s="43" t="str">
        <f aca="false">IF(U158&lt;&gt;"",U158,"")</f>
        <v/>
      </c>
      <c r="V164" s="43" t="str">
        <f aca="false">IF(V158&lt;&gt;"",V158,"")</f>
        <v/>
      </c>
      <c r="W164" s="43" t="str">
        <f aca="false">IF(W158&lt;&gt;"",W158,"")</f>
        <v/>
      </c>
      <c r="X164" s="43" t="str">
        <f aca="false">IF(X158&lt;&gt;"",X158,"")</f>
        <v/>
      </c>
      <c r="Y164" s="43" t="str">
        <f aca="false">IF(Y158&lt;&gt;"",Y158,"")</f>
        <v/>
      </c>
      <c r="Z164" s="43" t="str">
        <f aca="false">IF(Z158&lt;&gt;"",Z158,"")</f>
        <v/>
      </c>
      <c r="AA164" s="43" t="str">
        <f aca="false">IF(AA158&lt;&gt;"",AA158,"")</f>
        <v/>
      </c>
      <c r="AB164" s="43" t="str">
        <f aca="false">IF(AB158&lt;&gt;"",AB158,"")</f>
        <v/>
      </c>
      <c r="AC164" s="43" t="str">
        <f aca="false">IF(AC158&lt;&gt;"",AC158,"")</f>
        <v/>
      </c>
      <c r="AD164" s="43" t="str">
        <f aca="false">IF(AD158&lt;&gt;"",AD158,"")</f>
        <v/>
      </c>
      <c r="AE164" s="43" t="str">
        <f aca="false">IF(AE158&lt;&gt;"",AE158,"")</f>
        <v/>
      </c>
      <c r="AF164" s="43" t="str">
        <f aca="false">IF(AF158&lt;&gt;"",AF158,"")</f>
        <v/>
      </c>
      <c r="AG164" s="43" t="str">
        <f aca="false">IF(AG158&lt;&gt;"",AG158,"")</f>
        <v/>
      </c>
      <c r="AH164" s="43" t="str">
        <f aca="false">IF(AH158&lt;&gt;"",AH158,"")</f>
        <v/>
      </c>
      <c r="AI164" s="43" t="str">
        <f aca="false">IF(AI158&lt;&gt;"",AI158,"")</f>
        <v/>
      </c>
      <c r="AJ164" s="43" t="str">
        <f aca="false">IF(AJ158&lt;&gt;"",AJ158,"")</f>
        <v/>
      </c>
      <c r="AK164" s="44" t="str">
        <f aca="false">IF(AK158&lt;&gt;"",AK158,"")</f>
        <v/>
      </c>
      <c r="AL164" s="33"/>
      <c r="AM164" s="34"/>
      <c r="AN164" s="34"/>
      <c r="AO164" s="34"/>
      <c r="AP164" s="34"/>
      <c r="AQ164" s="34"/>
      <c r="AR164" s="40"/>
    </row>
    <row r="165" s="37" customFormat="true" ht="13.8" hidden="false" customHeight="false" outlineLevel="0" collapsed="false">
      <c r="A165" s="31"/>
      <c r="B165" s="36"/>
      <c r="C165" s="37" t="s">
        <v>106</v>
      </c>
      <c r="D165" s="37" t="s">
        <v>304</v>
      </c>
      <c r="E165" s="43" t="str">
        <f aca="false">IF(E153&lt;&gt;"",IF(E153&gt;20480000,15,IF(E153&gt;10240000,14,IF(E153&gt;5120000,13,IF(E153&gt;2560000,12,IF(E153&gt;1280000,11,IF(E153&gt;640000,10,IF(E153&gt;320000,9,IF(E153&gt;160000,8,IF(E153&gt;80000,7,IF(E153&gt;40000,6,IF(E153&gt;20000,5,IF(E153&gt;10000,4,IF(E153&gt;5000,3,IF(E153&gt;2500,2,IF(E153&gt;1250,1,IF(E153&lt;1250,0)))))))))))))))),"")</f>
        <v/>
      </c>
      <c r="F165" s="43" t="str">
        <f aca="false">IF(F153&lt;&gt;"",IF(F153&gt;20480000,15,IF(F153&gt;10240000,14,IF(F153&gt;5120000,13,IF(F153&gt;2560000,12,IF(F153&gt;1280000,11,IF(F153&gt;640000,10,IF(F153&gt;320000,9,IF(F153&gt;160000,8,IF(F153&gt;80000,7,IF(F153&gt;40000,6,IF(F153&gt;20000,5,IF(F153&gt;10000,4,IF(F153&gt;5000,3,IF(F153&gt;2500,2,IF(F153&gt;1250,1,IF(F153&lt;1250,0)))))))))))))))),"")</f>
        <v/>
      </c>
      <c r="G165" s="43" t="str">
        <f aca="false">IF(G153&lt;&gt;"",IF(G153&gt;20480000,15,IF(G153&gt;10240000,14,IF(G153&gt;5120000,13,IF(G153&gt;2560000,12,IF(G153&gt;1280000,11,IF(G153&gt;640000,10,IF(G153&gt;320000,9,IF(G153&gt;160000,8,IF(G153&gt;80000,7,IF(G153&gt;40000,6,IF(G153&gt;20000,5,IF(G153&gt;10000,4,IF(G153&gt;5000,3,IF(G153&gt;2500,2,IF(G153&gt;1250,1,IF(G153&lt;1250,0)))))))))))))))),"")</f>
        <v/>
      </c>
      <c r="H165" s="43" t="str">
        <f aca="false">IF(H153&lt;&gt;"",IF(H153&gt;20480000,15,IF(H153&gt;10240000,14,IF(H153&gt;5120000,13,IF(H153&gt;2560000,12,IF(H153&gt;1280000,11,IF(H153&gt;640000,10,IF(H153&gt;320000,9,IF(H153&gt;160000,8,IF(H153&gt;80000,7,IF(H153&gt;40000,6,IF(H153&gt;20000,5,IF(H153&gt;10000,4,IF(H153&gt;5000,3,IF(H153&gt;2500,2,IF(H153&gt;1250,1,IF(H153&lt;1250,0)))))))))))))))),"")</f>
        <v/>
      </c>
      <c r="I165" s="43" t="str">
        <f aca="false">IF(I153&lt;&gt;"",IF(I153&gt;20480000,15,IF(I153&gt;10240000,14,IF(I153&gt;5120000,13,IF(I153&gt;2560000,12,IF(I153&gt;1280000,11,IF(I153&gt;640000,10,IF(I153&gt;320000,9,IF(I153&gt;160000,8,IF(I153&gt;80000,7,IF(I153&gt;40000,6,IF(I153&gt;20000,5,IF(I153&gt;10000,4,IF(I153&gt;5000,3,IF(I153&gt;2500,2,IF(I153&gt;1250,1,IF(I153&lt;1250,0)))))))))))))))),"")</f>
        <v/>
      </c>
      <c r="J165" s="43" t="str">
        <f aca="false">IF(J153&lt;&gt;"",IF(J153&gt;20480000,15,IF(J153&gt;10240000,14,IF(J153&gt;5120000,13,IF(J153&gt;2560000,12,IF(J153&gt;1280000,11,IF(J153&gt;640000,10,IF(J153&gt;320000,9,IF(J153&gt;160000,8,IF(J153&gt;80000,7,IF(J153&gt;40000,6,IF(J153&gt;20000,5,IF(J153&gt;10000,4,IF(J153&gt;5000,3,IF(J153&gt;2500,2,IF(J153&gt;1250,1,IF(J153&lt;1250,0)))))))))))))))),"")</f>
        <v/>
      </c>
      <c r="K165" s="43" t="str">
        <f aca="false">IF(K153&lt;&gt;"",IF(K153&gt;20480000,15,IF(K153&gt;10240000,14,IF(K153&gt;5120000,13,IF(K153&gt;2560000,12,IF(K153&gt;1280000,11,IF(K153&gt;640000,10,IF(K153&gt;320000,9,IF(K153&gt;160000,8,IF(K153&gt;80000,7,IF(K153&gt;40000,6,IF(K153&gt;20000,5,IF(K153&gt;10000,4,IF(K153&gt;5000,3,IF(K153&gt;2500,2,IF(K153&gt;1250,1,IF(K153&lt;1250,0)))))))))))))))),"")</f>
        <v/>
      </c>
      <c r="L165" s="43" t="str">
        <f aca="false">IF(L153&lt;&gt;"",IF(L153&gt;20480000,15,IF(L153&gt;10240000,14,IF(L153&gt;5120000,13,IF(L153&gt;2560000,12,IF(L153&gt;1280000,11,IF(L153&gt;640000,10,IF(L153&gt;320000,9,IF(L153&gt;160000,8,IF(L153&gt;80000,7,IF(L153&gt;40000,6,IF(L153&gt;20000,5,IF(L153&gt;10000,4,IF(L153&gt;5000,3,IF(L153&gt;2500,2,IF(L153&gt;1250,1,IF(L153&lt;1250,0)))))))))))))))),"")</f>
        <v/>
      </c>
      <c r="M165" s="43" t="str">
        <f aca="false">IF(M153&lt;&gt;"",IF(M153&gt;20480000,15,IF(M153&gt;10240000,14,IF(M153&gt;5120000,13,IF(M153&gt;2560000,12,IF(M153&gt;1280000,11,IF(M153&gt;640000,10,IF(M153&gt;320000,9,IF(M153&gt;160000,8,IF(M153&gt;80000,7,IF(M153&gt;40000,6,IF(M153&gt;20000,5,IF(M153&gt;10000,4,IF(M153&gt;5000,3,IF(M153&gt;2500,2,IF(M153&gt;1250,1,IF(M153&lt;1250,0)))))))))))))))),"")</f>
        <v/>
      </c>
      <c r="N165" s="43" t="str">
        <f aca="false">IF(N153&lt;&gt;"",IF(N153&gt;20480000,15,IF(N153&gt;10240000,14,IF(N153&gt;5120000,13,IF(N153&gt;2560000,12,IF(N153&gt;1280000,11,IF(N153&gt;640000,10,IF(N153&gt;320000,9,IF(N153&gt;160000,8,IF(N153&gt;80000,7,IF(N153&gt;40000,6,IF(N153&gt;20000,5,IF(N153&gt;10000,4,IF(N153&gt;5000,3,IF(N153&gt;2500,2,IF(N153&gt;1250,1,IF(N153&lt;1250,0)))))))))))))))),"")</f>
        <v/>
      </c>
      <c r="O165" s="43" t="str">
        <f aca="false">IF(O153&lt;&gt;"",IF(O153&gt;20480000,15,IF(O153&gt;10240000,14,IF(O153&gt;5120000,13,IF(O153&gt;2560000,12,IF(O153&gt;1280000,11,IF(O153&gt;640000,10,IF(O153&gt;320000,9,IF(O153&gt;160000,8,IF(O153&gt;80000,7,IF(O153&gt;40000,6,IF(O153&gt;20000,5,IF(O153&gt;10000,4,IF(O153&gt;5000,3,IF(O153&gt;2500,2,IF(O153&gt;1250,1,IF(O153&lt;1250,0)))))))))))))))),"")</f>
        <v/>
      </c>
      <c r="P165" s="43" t="str">
        <f aca="false">IF(P153&lt;&gt;"",IF(P153&gt;20480000,15,IF(P153&gt;10240000,14,IF(P153&gt;5120000,13,IF(P153&gt;2560000,12,IF(P153&gt;1280000,11,IF(P153&gt;640000,10,IF(P153&gt;320000,9,IF(P153&gt;160000,8,IF(P153&gt;80000,7,IF(P153&gt;40000,6,IF(P153&gt;20000,5,IF(P153&gt;10000,4,IF(P153&gt;5000,3,IF(P153&gt;2500,2,IF(P153&gt;1250,1,IF(P153&lt;1250,0)))))))))))))))),"")</f>
        <v/>
      </c>
      <c r="Q165" s="43" t="str">
        <f aca="false">IF(Q153&lt;&gt;"",IF(Q153&gt;20480000,15,IF(Q153&gt;10240000,14,IF(Q153&gt;5120000,13,IF(Q153&gt;2560000,12,IF(Q153&gt;1280000,11,IF(Q153&gt;640000,10,IF(Q153&gt;320000,9,IF(Q153&gt;160000,8,IF(Q153&gt;80000,7,IF(Q153&gt;40000,6,IF(Q153&gt;20000,5,IF(Q153&gt;10000,4,IF(Q153&gt;5000,3,IF(Q153&gt;2500,2,IF(Q153&gt;1250,1,IF(Q153&lt;1250,0)))))))))))))))),"")</f>
        <v/>
      </c>
      <c r="R165" s="43" t="str">
        <f aca="false">IF(R153&lt;&gt;"",IF(R153&gt;20480000,15,IF(R153&gt;10240000,14,IF(R153&gt;5120000,13,IF(R153&gt;2560000,12,IF(R153&gt;1280000,11,IF(R153&gt;640000,10,IF(R153&gt;320000,9,IF(R153&gt;160000,8,IF(R153&gt;80000,7,IF(R153&gt;40000,6,IF(R153&gt;20000,5,IF(R153&gt;10000,4,IF(R153&gt;5000,3,IF(R153&gt;2500,2,IF(R153&gt;1250,1,IF(R153&lt;1250,0)))))))))))))))),"")</f>
        <v/>
      </c>
      <c r="S165" s="43" t="str">
        <f aca="false">IF(S153&lt;&gt;"",IF(S153&gt;20480000,15,IF(S153&gt;10240000,14,IF(S153&gt;5120000,13,IF(S153&gt;2560000,12,IF(S153&gt;1280000,11,IF(S153&gt;640000,10,IF(S153&gt;320000,9,IF(S153&gt;160000,8,IF(S153&gt;80000,7,IF(S153&gt;40000,6,IF(S153&gt;20000,5,IF(S153&gt;10000,4,IF(S153&gt;5000,3,IF(S153&gt;2500,2,IF(S153&gt;1250,1,IF(S153&lt;1250,0)))))))))))))))),"")</f>
        <v/>
      </c>
      <c r="T165" s="43" t="str">
        <f aca="false">IF(T153&lt;&gt;"",IF(T153&gt;20480000,15,IF(T153&gt;10240000,14,IF(T153&gt;5120000,13,IF(T153&gt;2560000,12,IF(T153&gt;1280000,11,IF(T153&gt;640000,10,IF(T153&gt;320000,9,IF(T153&gt;160000,8,IF(T153&gt;80000,7,IF(T153&gt;40000,6,IF(T153&gt;20000,5,IF(T153&gt;10000,4,IF(T153&gt;5000,3,IF(T153&gt;2500,2,IF(T153&gt;1250,1,IF(T153&lt;1250,0)))))))))))))))),"")</f>
        <v/>
      </c>
      <c r="U165" s="43" t="str">
        <f aca="false">IF(U153&lt;&gt;"",IF(U153&gt;20480000,15,IF(U153&gt;10240000,14,IF(U153&gt;5120000,13,IF(U153&gt;2560000,12,IF(U153&gt;1280000,11,IF(U153&gt;640000,10,IF(U153&gt;320000,9,IF(U153&gt;160000,8,IF(U153&gt;80000,7,IF(U153&gt;40000,6,IF(U153&gt;20000,5,IF(U153&gt;10000,4,IF(U153&gt;5000,3,IF(U153&gt;2500,2,IF(U153&gt;1250,1,IF(U153&lt;1250,0)))))))))))))))),"")</f>
        <v/>
      </c>
      <c r="V165" s="43" t="str">
        <f aca="false">IF(V153&lt;&gt;"",IF(V153&gt;20480000,15,IF(V153&gt;10240000,14,IF(V153&gt;5120000,13,IF(V153&gt;2560000,12,IF(V153&gt;1280000,11,IF(V153&gt;640000,10,IF(V153&gt;320000,9,IF(V153&gt;160000,8,IF(V153&gt;80000,7,IF(V153&gt;40000,6,IF(V153&gt;20000,5,IF(V153&gt;10000,4,IF(V153&gt;5000,3,IF(V153&gt;2500,2,IF(V153&gt;1250,1,IF(V153&lt;1250,0)))))))))))))))),"")</f>
        <v/>
      </c>
      <c r="W165" s="43" t="str">
        <f aca="false">IF(W153&lt;&gt;"",IF(W153&gt;20480000,15,IF(W153&gt;10240000,14,IF(W153&gt;5120000,13,IF(W153&gt;2560000,12,IF(W153&gt;1280000,11,IF(W153&gt;640000,10,IF(W153&gt;320000,9,IF(W153&gt;160000,8,IF(W153&gt;80000,7,IF(W153&gt;40000,6,IF(W153&gt;20000,5,IF(W153&gt;10000,4,IF(W153&gt;5000,3,IF(W153&gt;2500,2,IF(W153&gt;1250,1,IF(W153&lt;1250,0)))))))))))))))),"")</f>
        <v/>
      </c>
      <c r="X165" s="43" t="str">
        <f aca="false">IF(X153&lt;&gt;"",IF(X153&gt;20480000,15,IF(X153&gt;10240000,14,IF(X153&gt;5120000,13,IF(X153&gt;2560000,12,IF(X153&gt;1280000,11,IF(X153&gt;640000,10,IF(X153&gt;320000,9,IF(X153&gt;160000,8,IF(X153&gt;80000,7,IF(X153&gt;40000,6,IF(X153&gt;20000,5,IF(X153&gt;10000,4,IF(X153&gt;5000,3,IF(X153&gt;2500,2,IF(X153&gt;1250,1,IF(X153&lt;1250,0)))))))))))))))),"")</f>
        <v/>
      </c>
      <c r="Y165" s="43" t="str">
        <f aca="false">IF(Y153&lt;&gt;"",IF(Y153&gt;20480000,15,IF(Y153&gt;10240000,14,IF(Y153&gt;5120000,13,IF(Y153&gt;2560000,12,IF(Y153&gt;1280000,11,IF(Y153&gt;640000,10,IF(Y153&gt;320000,9,IF(Y153&gt;160000,8,IF(Y153&gt;80000,7,IF(Y153&gt;40000,6,IF(Y153&gt;20000,5,IF(Y153&gt;10000,4,IF(Y153&gt;5000,3,IF(Y153&gt;2500,2,IF(Y153&gt;1250,1,IF(Y153&lt;1250,0)))))))))))))))),"")</f>
        <v/>
      </c>
      <c r="Z165" s="43" t="str">
        <f aca="false">IF(Z153&lt;&gt;"",IF(Z153&gt;20480000,15,IF(Z153&gt;10240000,14,IF(Z153&gt;5120000,13,IF(Z153&gt;2560000,12,IF(Z153&gt;1280000,11,IF(Z153&gt;640000,10,IF(Z153&gt;320000,9,IF(Z153&gt;160000,8,IF(Z153&gt;80000,7,IF(Z153&gt;40000,6,IF(Z153&gt;20000,5,IF(Z153&gt;10000,4,IF(Z153&gt;5000,3,IF(Z153&gt;2500,2,IF(Z153&gt;1250,1,IF(Z153&lt;1250,0)))))))))))))))),"")</f>
        <v/>
      </c>
      <c r="AA165" s="43" t="str">
        <f aca="false">IF(AA153&lt;&gt;"",IF(AA153&gt;20480000,15,IF(AA153&gt;10240000,14,IF(AA153&gt;5120000,13,IF(AA153&gt;2560000,12,IF(AA153&gt;1280000,11,IF(AA153&gt;640000,10,IF(AA153&gt;320000,9,IF(AA153&gt;160000,8,IF(AA153&gt;80000,7,IF(AA153&gt;40000,6,IF(AA153&gt;20000,5,IF(AA153&gt;10000,4,IF(AA153&gt;5000,3,IF(AA153&gt;2500,2,IF(AA153&gt;1250,1,IF(AA153&lt;1250,0)))))))))))))))),"")</f>
        <v/>
      </c>
      <c r="AB165" s="43" t="str">
        <f aca="false">IF(AB153&lt;&gt;"",IF(AB153&gt;20480000,15,IF(AB153&gt;10240000,14,IF(AB153&gt;5120000,13,IF(AB153&gt;2560000,12,IF(AB153&gt;1280000,11,IF(AB153&gt;640000,10,IF(AB153&gt;320000,9,IF(AB153&gt;160000,8,IF(AB153&gt;80000,7,IF(AB153&gt;40000,6,IF(AB153&gt;20000,5,IF(AB153&gt;10000,4,IF(AB153&gt;5000,3,IF(AB153&gt;2500,2,IF(AB153&gt;1250,1,IF(AB153&lt;1250,0)))))))))))))))),"")</f>
        <v/>
      </c>
      <c r="AC165" s="43" t="str">
        <f aca="false">IF(AC153&lt;&gt;"",IF(AC153&gt;20480000,15,IF(AC153&gt;10240000,14,IF(AC153&gt;5120000,13,IF(AC153&gt;2560000,12,IF(AC153&gt;1280000,11,IF(AC153&gt;640000,10,IF(AC153&gt;320000,9,IF(AC153&gt;160000,8,IF(AC153&gt;80000,7,IF(AC153&gt;40000,6,IF(AC153&gt;20000,5,IF(AC153&gt;10000,4,IF(AC153&gt;5000,3,IF(AC153&gt;2500,2,IF(AC153&gt;1250,1,IF(AC153&lt;1250,0)))))))))))))))),"")</f>
        <v/>
      </c>
      <c r="AD165" s="43" t="str">
        <f aca="false">IF(AD153&lt;&gt;"",IF(AD153&gt;20480000,15,IF(AD153&gt;10240000,14,IF(AD153&gt;5120000,13,IF(AD153&gt;2560000,12,IF(AD153&gt;1280000,11,IF(AD153&gt;640000,10,IF(AD153&gt;320000,9,IF(AD153&gt;160000,8,IF(AD153&gt;80000,7,IF(AD153&gt;40000,6,IF(AD153&gt;20000,5,IF(AD153&gt;10000,4,IF(AD153&gt;5000,3,IF(AD153&gt;2500,2,IF(AD153&gt;1250,1,IF(AD153&lt;1250,0)))))))))))))))),"")</f>
        <v/>
      </c>
      <c r="AE165" s="43" t="str">
        <f aca="false">IF(AE153&lt;&gt;"",IF(AE153&gt;20480000,15,IF(AE153&gt;10240000,14,IF(AE153&gt;5120000,13,IF(AE153&gt;2560000,12,IF(AE153&gt;1280000,11,IF(AE153&gt;640000,10,IF(AE153&gt;320000,9,IF(AE153&gt;160000,8,IF(AE153&gt;80000,7,IF(AE153&gt;40000,6,IF(AE153&gt;20000,5,IF(AE153&gt;10000,4,IF(AE153&gt;5000,3,IF(AE153&gt;2500,2,IF(AE153&gt;1250,1,IF(AE153&lt;1250,0)))))))))))))))),"")</f>
        <v/>
      </c>
      <c r="AF165" s="43" t="str">
        <f aca="false">IF(AF153&lt;&gt;"",IF(AF153&gt;20480000,15,IF(AF153&gt;10240000,14,IF(AF153&gt;5120000,13,IF(AF153&gt;2560000,12,IF(AF153&gt;1280000,11,IF(AF153&gt;640000,10,IF(AF153&gt;320000,9,IF(AF153&gt;160000,8,IF(AF153&gt;80000,7,IF(AF153&gt;40000,6,IF(AF153&gt;20000,5,IF(AF153&gt;10000,4,IF(AF153&gt;5000,3,IF(AF153&gt;2500,2,IF(AF153&gt;1250,1,IF(AF153&lt;1250,0)))))))))))))))),"")</f>
        <v/>
      </c>
      <c r="AG165" s="43" t="str">
        <f aca="false">IF(AG153&lt;&gt;"",IF(AG153&gt;20480000,15,IF(AG153&gt;10240000,14,IF(AG153&gt;5120000,13,IF(AG153&gt;2560000,12,IF(AG153&gt;1280000,11,IF(AG153&gt;640000,10,IF(AG153&gt;320000,9,IF(AG153&gt;160000,8,IF(AG153&gt;80000,7,IF(AG153&gt;40000,6,IF(AG153&gt;20000,5,IF(AG153&gt;10000,4,IF(AG153&gt;5000,3,IF(AG153&gt;2500,2,IF(AG153&gt;1250,1,IF(AG153&lt;1250,0)))))))))))))))),"")</f>
        <v/>
      </c>
      <c r="AH165" s="43" t="str">
        <f aca="false">IF(AH153&lt;&gt;"",IF(AH153&gt;20480000,15,IF(AH153&gt;10240000,14,IF(AH153&gt;5120000,13,IF(AH153&gt;2560000,12,IF(AH153&gt;1280000,11,IF(AH153&gt;640000,10,IF(AH153&gt;320000,9,IF(AH153&gt;160000,8,IF(AH153&gt;80000,7,IF(AH153&gt;40000,6,IF(AH153&gt;20000,5,IF(AH153&gt;10000,4,IF(AH153&gt;5000,3,IF(AH153&gt;2500,2,IF(AH153&gt;1250,1,IF(AH153&lt;1250,0)))))))))))))))),"")</f>
        <v/>
      </c>
      <c r="AI165" s="43" t="str">
        <f aca="false">IF(AI153&lt;&gt;"",IF(AI153&gt;20480000,15,IF(AI153&gt;10240000,14,IF(AI153&gt;5120000,13,IF(AI153&gt;2560000,12,IF(AI153&gt;1280000,11,IF(AI153&gt;640000,10,IF(AI153&gt;320000,9,IF(AI153&gt;160000,8,IF(AI153&gt;80000,7,IF(AI153&gt;40000,6,IF(AI153&gt;20000,5,IF(AI153&gt;10000,4,IF(AI153&gt;5000,3,IF(AI153&gt;2500,2,IF(AI153&gt;1250,1,IF(AI153&lt;1250,0)))))))))))))))),"")</f>
        <v/>
      </c>
      <c r="AJ165" s="43" t="str">
        <f aca="false">IF(AJ153&lt;&gt;"",IF(AJ153&gt;20480000,15,IF(AJ153&gt;10240000,14,IF(AJ153&gt;5120000,13,IF(AJ153&gt;2560000,12,IF(AJ153&gt;1280000,11,IF(AJ153&gt;640000,10,IF(AJ153&gt;320000,9,IF(AJ153&gt;160000,8,IF(AJ153&gt;80000,7,IF(AJ153&gt;40000,6,IF(AJ153&gt;20000,5,IF(AJ153&gt;10000,4,IF(AJ153&gt;5000,3,IF(AJ153&gt;2500,2,IF(AJ153&gt;1250,1,IF(AJ153&lt;1250,0)))))))))))))))),"")</f>
        <v/>
      </c>
      <c r="AK165" s="44" t="str">
        <f aca="false">IF(AK153&lt;&gt;"",IF(AK153&gt;20480000,15,IF(AK153&gt;10240000,14,IF(AK153&gt;5120000,13,IF(AK153&gt;2560000,12,IF(AK153&gt;1280000,11,IF(AK153&gt;640000,10,IF(AK153&gt;320000,9,IF(AK153&gt;160000,8,IF(AK153&gt;80000,7,IF(AK153&gt;40000,6,IF(AK153&gt;20000,5,IF(AK153&gt;10000,4,IF(AK153&gt;5000,3,IF(AK153&gt;2500,2,IF(AK153&gt;1250,1,IF(AK153&lt;1250,0)))))))))))))))),"")</f>
        <v/>
      </c>
      <c r="AL165" s="33"/>
      <c r="AM165" s="34"/>
      <c r="AN165" s="34"/>
      <c r="AO165" s="34"/>
      <c r="AP165" s="34"/>
      <c r="AQ165" s="34"/>
      <c r="AR165" s="40"/>
    </row>
    <row r="166" s="37" customFormat="true" ht="13.8" hidden="false" customHeight="false" outlineLevel="0" collapsed="false">
      <c r="A166" s="31"/>
      <c r="B166" s="36"/>
      <c r="C166" s="37" t="s">
        <v>108</v>
      </c>
      <c r="D166" s="37" t="s">
        <v>305</v>
      </c>
      <c r="E166" s="43" t="str">
        <f aca="false">IF(E154&lt;&gt;"",IF(E154&gt;4096000,15,IF(E154&gt;2048000,14,IF(E154&gt;1024000,13,IF(E154&gt;512000,12,IF(E154&gt;256000,11,IF(E154&gt;128000,10,IF(E154&gt;64000,9,IF(E154&gt;32000,8,IF(E154&gt;16000,7,IF(E154&gt;8000,6,IF(E154&gt;4000,5,IF(E154&gt;2000,4,IF(E154&gt;1000,3,IF(E154&gt;500,2,IF(E154&gt;250,1,IF(E154&lt;250,0)))))))))))))))),"")</f>
        <v/>
      </c>
      <c r="F166" s="43" t="str">
        <f aca="false">IF(F154&lt;&gt;"",IF(F154&gt;4096000,15,IF(F154&gt;2048000,14,IF(F154&gt;1024000,13,IF(F154&gt;512000,12,IF(F154&gt;256000,11,IF(F154&gt;128000,10,IF(F154&gt;64000,9,IF(F154&gt;32000,8,IF(F154&gt;16000,7,IF(F154&gt;8000,6,IF(F154&gt;4000,5,IF(F154&gt;2000,4,IF(F154&gt;1000,3,IF(F154&gt;500,2,IF(F154&gt;250,1,IF(F154&lt;250,0)))))))))))))))),"")</f>
        <v/>
      </c>
      <c r="G166" s="43" t="str">
        <f aca="false">IF(G154&lt;&gt;"",IF(G154&gt;4096000,15,IF(G154&gt;2048000,14,IF(G154&gt;1024000,13,IF(G154&gt;512000,12,IF(G154&gt;256000,11,IF(G154&gt;128000,10,IF(G154&gt;64000,9,IF(G154&gt;32000,8,IF(G154&gt;16000,7,IF(G154&gt;8000,6,IF(G154&gt;4000,5,IF(G154&gt;2000,4,IF(G154&gt;1000,3,IF(G154&gt;500,2,IF(G154&gt;250,1,IF(G154&lt;250,0)))))))))))))))),"")</f>
        <v/>
      </c>
      <c r="H166" s="43" t="str">
        <f aca="false">IF(H154&lt;&gt;"",IF(H154&gt;4096000,15,IF(H154&gt;2048000,14,IF(H154&gt;1024000,13,IF(H154&gt;512000,12,IF(H154&gt;256000,11,IF(H154&gt;128000,10,IF(H154&gt;64000,9,IF(H154&gt;32000,8,IF(H154&gt;16000,7,IF(H154&gt;8000,6,IF(H154&gt;4000,5,IF(H154&gt;2000,4,IF(H154&gt;1000,3,IF(H154&gt;500,2,IF(H154&gt;250,1,IF(H154&lt;250,0)))))))))))))))),"")</f>
        <v/>
      </c>
      <c r="I166" s="43" t="str">
        <f aca="false">IF(I154&lt;&gt;"",IF(I154&gt;4096000,15,IF(I154&gt;2048000,14,IF(I154&gt;1024000,13,IF(I154&gt;512000,12,IF(I154&gt;256000,11,IF(I154&gt;128000,10,IF(I154&gt;64000,9,IF(I154&gt;32000,8,IF(I154&gt;16000,7,IF(I154&gt;8000,6,IF(I154&gt;4000,5,IF(I154&gt;2000,4,IF(I154&gt;1000,3,IF(I154&gt;500,2,IF(I154&gt;250,1,IF(I154&lt;250,0)))))))))))))))),"")</f>
        <v/>
      </c>
      <c r="J166" s="43" t="str">
        <f aca="false">IF(J154&lt;&gt;"",IF(J154&gt;4096000,15,IF(J154&gt;2048000,14,IF(J154&gt;1024000,13,IF(J154&gt;512000,12,IF(J154&gt;256000,11,IF(J154&gt;128000,10,IF(J154&gt;64000,9,IF(J154&gt;32000,8,IF(J154&gt;16000,7,IF(J154&gt;8000,6,IF(J154&gt;4000,5,IF(J154&gt;2000,4,IF(J154&gt;1000,3,IF(J154&gt;500,2,IF(J154&gt;250,1,IF(J154&lt;250,0)))))))))))))))),"")</f>
        <v/>
      </c>
      <c r="K166" s="43" t="str">
        <f aca="false">IF(K154&lt;&gt;"",IF(K154&gt;4096000,15,IF(K154&gt;2048000,14,IF(K154&gt;1024000,13,IF(K154&gt;512000,12,IF(K154&gt;256000,11,IF(K154&gt;128000,10,IF(K154&gt;64000,9,IF(K154&gt;32000,8,IF(K154&gt;16000,7,IF(K154&gt;8000,6,IF(K154&gt;4000,5,IF(K154&gt;2000,4,IF(K154&gt;1000,3,IF(K154&gt;500,2,IF(K154&gt;250,1,IF(K154&lt;250,0)))))))))))))))),"")</f>
        <v/>
      </c>
      <c r="L166" s="43" t="str">
        <f aca="false">IF(L154&lt;&gt;"",IF(L154&gt;4096000,15,IF(L154&gt;2048000,14,IF(L154&gt;1024000,13,IF(L154&gt;512000,12,IF(L154&gt;256000,11,IF(L154&gt;128000,10,IF(L154&gt;64000,9,IF(L154&gt;32000,8,IF(L154&gt;16000,7,IF(L154&gt;8000,6,IF(L154&gt;4000,5,IF(L154&gt;2000,4,IF(L154&gt;1000,3,IF(L154&gt;500,2,IF(L154&gt;250,1,IF(L154&lt;250,0)))))))))))))))),"")</f>
        <v/>
      </c>
      <c r="M166" s="43" t="str">
        <f aca="false">IF(M154&lt;&gt;"",IF(M154&gt;4096000,15,IF(M154&gt;2048000,14,IF(M154&gt;1024000,13,IF(M154&gt;512000,12,IF(M154&gt;256000,11,IF(M154&gt;128000,10,IF(M154&gt;64000,9,IF(M154&gt;32000,8,IF(M154&gt;16000,7,IF(M154&gt;8000,6,IF(M154&gt;4000,5,IF(M154&gt;2000,4,IF(M154&gt;1000,3,IF(M154&gt;500,2,IF(M154&gt;250,1,IF(M154&lt;250,0)))))))))))))))),"")</f>
        <v/>
      </c>
      <c r="N166" s="43" t="str">
        <f aca="false">IF(N154&lt;&gt;"",IF(N154&gt;4096000,15,IF(N154&gt;2048000,14,IF(N154&gt;1024000,13,IF(N154&gt;512000,12,IF(N154&gt;256000,11,IF(N154&gt;128000,10,IF(N154&gt;64000,9,IF(N154&gt;32000,8,IF(N154&gt;16000,7,IF(N154&gt;8000,6,IF(N154&gt;4000,5,IF(N154&gt;2000,4,IF(N154&gt;1000,3,IF(N154&gt;500,2,IF(N154&gt;250,1,IF(N154&lt;250,0)))))))))))))))),"")</f>
        <v/>
      </c>
      <c r="O166" s="43" t="str">
        <f aca="false">IF(O154&lt;&gt;"",IF(O154&gt;4096000,15,IF(O154&gt;2048000,14,IF(O154&gt;1024000,13,IF(O154&gt;512000,12,IF(O154&gt;256000,11,IF(O154&gt;128000,10,IF(O154&gt;64000,9,IF(O154&gt;32000,8,IF(O154&gt;16000,7,IF(O154&gt;8000,6,IF(O154&gt;4000,5,IF(O154&gt;2000,4,IF(O154&gt;1000,3,IF(O154&gt;500,2,IF(O154&gt;250,1,IF(O154&lt;250,0)))))))))))))))),"")</f>
        <v/>
      </c>
      <c r="P166" s="43" t="str">
        <f aca="false">IF(P154&lt;&gt;"",IF(P154&gt;4096000,15,IF(P154&gt;2048000,14,IF(P154&gt;1024000,13,IF(P154&gt;512000,12,IF(P154&gt;256000,11,IF(P154&gt;128000,10,IF(P154&gt;64000,9,IF(P154&gt;32000,8,IF(P154&gt;16000,7,IF(P154&gt;8000,6,IF(P154&gt;4000,5,IF(P154&gt;2000,4,IF(P154&gt;1000,3,IF(P154&gt;500,2,IF(P154&gt;250,1,IF(P154&lt;250,0)))))))))))))))),"")</f>
        <v/>
      </c>
      <c r="Q166" s="43" t="str">
        <f aca="false">IF(Q154&lt;&gt;"",IF(Q154&gt;4096000,15,IF(Q154&gt;2048000,14,IF(Q154&gt;1024000,13,IF(Q154&gt;512000,12,IF(Q154&gt;256000,11,IF(Q154&gt;128000,10,IF(Q154&gt;64000,9,IF(Q154&gt;32000,8,IF(Q154&gt;16000,7,IF(Q154&gt;8000,6,IF(Q154&gt;4000,5,IF(Q154&gt;2000,4,IF(Q154&gt;1000,3,IF(Q154&gt;500,2,IF(Q154&gt;250,1,IF(Q154&lt;250,0)))))))))))))))),"")</f>
        <v/>
      </c>
      <c r="R166" s="43" t="str">
        <f aca="false">IF(R154&lt;&gt;"",IF(R154&gt;4096000,15,IF(R154&gt;2048000,14,IF(R154&gt;1024000,13,IF(R154&gt;512000,12,IF(R154&gt;256000,11,IF(R154&gt;128000,10,IF(R154&gt;64000,9,IF(R154&gt;32000,8,IF(R154&gt;16000,7,IF(R154&gt;8000,6,IF(R154&gt;4000,5,IF(R154&gt;2000,4,IF(R154&gt;1000,3,IF(R154&gt;500,2,IF(R154&gt;250,1,IF(R154&lt;250,0)))))))))))))))),"")</f>
        <v/>
      </c>
      <c r="S166" s="43" t="str">
        <f aca="false">IF(S154&lt;&gt;"",IF(S154&gt;4096000,15,IF(S154&gt;2048000,14,IF(S154&gt;1024000,13,IF(S154&gt;512000,12,IF(S154&gt;256000,11,IF(S154&gt;128000,10,IF(S154&gt;64000,9,IF(S154&gt;32000,8,IF(S154&gt;16000,7,IF(S154&gt;8000,6,IF(S154&gt;4000,5,IF(S154&gt;2000,4,IF(S154&gt;1000,3,IF(S154&gt;500,2,IF(S154&gt;250,1,IF(S154&lt;250,0)))))))))))))))),"")</f>
        <v/>
      </c>
      <c r="T166" s="43" t="str">
        <f aca="false">IF(T154&lt;&gt;"",IF(T154&gt;4096000,15,IF(T154&gt;2048000,14,IF(T154&gt;1024000,13,IF(T154&gt;512000,12,IF(T154&gt;256000,11,IF(T154&gt;128000,10,IF(T154&gt;64000,9,IF(T154&gt;32000,8,IF(T154&gt;16000,7,IF(T154&gt;8000,6,IF(T154&gt;4000,5,IF(T154&gt;2000,4,IF(T154&gt;1000,3,IF(T154&gt;500,2,IF(T154&gt;250,1,IF(T154&lt;250,0)))))))))))))))),"")</f>
        <v/>
      </c>
      <c r="U166" s="43" t="str">
        <f aca="false">IF(U154&lt;&gt;"",IF(U154&gt;4096000,15,IF(U154&gt;2048000,14,IF(U154&gt;1024000,13,IF(U154&gt;512000,12,IF(U154&gt;256000,11,IF(U154&gt;128000,10,IF(U154&gt;64000,9,IF(U154&gt;32000,8,IF(U154&gt;16000,7,IF(U154&gt;8000,6,IF(U154&gt;4000,5,IF(U154&gt;2000,4,IF(U154&gt;1000,3,IF(U154&gt;500,2,IF(U154&gt;250,1,IF(U154&lt;250,0)))))))))))))))),"")</f>
        <v/>
      </c>
      <c r="V166" s="43" t="str">
        <f aca="false">IF(V154&lt;&gt;"",IF(V154&gt;4096000,15,IF(V154&gt;2048000,14,IF(V154&gt;1024000,13,IF(V154&gt;512000,12,IF(V154&gt;256000,11,IF(V154&gt;128000,10,IF(V154&gt;64000,9,IF(V154&gt;32000,8,IF(V154&gt;16000,7,IF(V154&gt;8000,6,IF(V154&gt;4000,5,IF(V154&gt;2000,4,IF(V154&gt;1000,3,IF(V154&gt;500,2,IF(V154&gt;250,1,IF(V154&lt;250,0)))))))))))))))),"")</f>
        <v/>
      </c>
      <c r="W166" s="43" t="str">
        <f aca="false">IF(W154&lt;&gt;"",IF(W154&gt;4096000,15,IF(W154&gt;2048000,14,IF(W154&gt;1024000,13,IF(W154&gt;512000,12,IF(W154&gt;256000,11,IF(W154&gt;128000,10,IF(W154&gt;64000,9,IF(W154&gt;32000,8,IF(W154&gt;16000,7,IF(W154&gt;8000,6,IF(W154&gt;4000,5,IF(W154&gt;2000,4,IF(W154&gt;1000,3,IF(W154&gt;500,2,IF(W154&gt;250,1,IF(W154&lt;250,0)))))))))))))))),"")</f>
        <v/>
      </c>
      <c r="X166" s="43" t="str">
        <f aca="false">IF(X154&lt;&gt;"",IF(X154&gt;4096000,15,IF(X154&gt;2048000,14,IF(X154&gt;1024000,13,IF(X154&gt;512000,12,IF(X154&gt;256000,11,IF(X154&gt;128000,10,IF(X154&gt;64000,9,IF(X154&gt;32000,8,IF(X154&gt;16000,7,IF(X154&gt;8000,6,IF(X154&gt;4000,5,IF(X154&gt;2000,4,IF(X154&gt;1000,3,IF(X154&gt;500,2,IF(X154&gt;250,1,IF(X154&lt;250,0)))))))))))))))),"")</f>
        <v/>
      </c>
      <c r="Y166" s="43" t="str">
        <f aca="false">IF(Y154&lt;&gt;"",IF(Y154&gt;4096000,15,IF(Y154&gt;2048000,14,IF(Y154&gt;1024000,13,IF(Y154&gt;512000,12,IF(Y154&gt;256000,11,IF(Y154&gt;128000,10,IF(Y154&gt;64000,9,IF(Y154&gt;32000,8,IF(Y154&gt;16000,7,IF(Y154&gt;8000,6,IF(Y154&gt;4000,5,IF(Y154&gt;2000,4,IF(Y154&gt;1000,3,IF(Y154&gt;500,2,IF(Y154&gt;250,1,IF(Y154&lt;250,0)))))))))))))))),"")</f>
        <v/>
      </c>
      <c r="Z166" s="43" t="str">
        <f aca="false">IF(Z154&lt;&gt;"",IF(Z154&gt;4096000,15,IF(Z154&gt;2048000,14,IF(Z154&gt;1024000,13,IF(Z154&gt;512000,12,IF(Z154&gt;256000,11,IF(Z154&gt;128000,10,IF(Z154&gt;64000,9,IF(Z154&gt;32000,8,IF(Z154&gt;16000,7,IF(Z154&gt;8000,6,IF(Z154&gt;4000,5,IF(Z154&gt;2000,4,IF(Z154&gt;1000,3,IF(Z154&gt;500,2,IF(Z154&gt;250,1,IF(Z154&lt;250,0)))))))))))))))),"")</f>
        <v/>
      </c>
      <c r="AA166" s="43" t="str">
        <f aca="false">IF(AA154&lt;&gt;"",IF(AA154&gt;4096000,15,IF(AA154&gt;2048000,14,IF(AA154&gt;1024000,13,IF(AA154&gt;512000,12,IF(AA154&gt;256000,11,IF(AA154&gt;128000,10,IF(AA154&gt;64000,9,IF(AA154&gt;32000,8,IF(AA154&gt;16000,7,IF(AA154&gt;8000,6,IF(AA154&gt;4000,5,IF(AA154&gt;2000,4,IF(AA154&gt;1000,3,IF(AA154&gt;500,2,IF(AA154&gt;250,1,IF(AA154&lt;250,0)))))))))))))))),"")</f>
        <v/>
      </c>
      <c r="AB166" s="43" t="str">
        <f aca="false">IF(AB154&lt;&gt;"",IF(AB154&gt;4096000,15,IF(AB154&gt;2048000,14,IF(AB154&gt;1024000,13,IF(AB154&gt;512000,12,IF(AB154&gt;256000,11,IF(AB154&gt;128000,10,IF(AB154&gt;64000,9,IF(AB154&gt;32000,8,IF(AB154&gt;16000,7,IF(AB154&gt;8000,6,IF(AB154&gt;4000,5,IF(AB154&gt;2000,4,IF(AB154&gt;1000,3,IF(AB154&gt;500,2,IF(AB154&gt;250,1,IF(AB154&lt;250,0)))))))))))))))),"")</f>
        <v/>
      </c>
      <c r="AC166" s="43" t="str">
        <f aca="false">IF(AC154&lt;&gt;"",IF(AC154&gt;4096000,15,IF(AC154&gt;2048000,14,IF(AC154&gt;1024000,13,IF(AC154&gt;512000,12,IF(AC154&gt;256000,11,IF(AC154&gt;128000,10,IF(AC154&gt;64000,9,IF(AC154&gt;32000,8,IF(AC154&gt;16000,7,IF(AC154&gt;8000,6,IF(AC154&gt;4000,5,IF(AC154&gt;2000,4,IF(AC154&gt;1000,3,IF(AC154&gt;500,2,IF(AC154&gt;250,1,IF(AC154&lt;250,0)))))))))))))))),"")</f>
        <v/>
      </c>
      <c r="AD166" s="43" t="str">
        <f aca="false">IF(AD154&lt;&gt;"",IF(AD154&gt;4096000,15,IF(AD154&gt;2048000,14,IF(AD154&gt;1024000,13,IF(AD154&gt;512000,12,IF(AD154&gt;256000,11,IF(AD154&gt;128000,10,IF(AD154&gt;64000,9,IF(AD154&gt;32000,8,IF(AD154&gt;16000,7,IF(AD154&gt;8000,6,IF(AD154&gt;4000,5,IF(AD154&gt;2000,4,IF(AD154&gt;1000,3,IF(AD154&gt;500,2,IF(AD154&gt;250,1,IF(AD154&lt;250,0)))))))))))))))),"")</f>
        <v/>
      </c>
      <c r="AE166" s="43" t="str">
        <f aca="false">IF(AE154&lt;&gt;"",IF(AE154&gt;4096000,15,IF(AE154&gt;2048000,14,IF(AE154&gt;1024000,13,IF(AE154&gt;512000,12,IF(AE154&gt;256000,11,IF(AE154&gt;128000,10,IF(AE154&gt;64000,9,IF(AE154&gt;32000,8,IF(AE154&gt;16000,7,IF(AE154&gt;8000,6,IF(AE154&gt;4000,5,IF(AE154&gt;2000,4,IF(AE154&gt;1000,3,IF(AE154&gt;500,2,IF(AE154&gt;250,1,IF(AE154&lt;250,0)))))))))))))))),"")</f>
        <v/>
      </c>
      <c r="AF166" s="43" t="str">
        <f aca="false">IF(AF154&lt;&gt;"",IF(AF154&gt;4096000,15,IF(AF154&gt;2048000,14,IF(AF154&gt;1024000,13,IF(AF154&gt;512000,12,IF(AF154&gt;256000,11,IF(AF154&gt;128000,10,IF(AF154&gt;64000,9,IF(AF154&gt;32000,8,IF(AF154&gt;16000,7,IF(AF154&gt;8000,6,IF(AF154&gt;4000,5,IF(AF154&gt;2000,4,IF(AF154&gt;1000,3,IF(AF154&gt;500,2,IF(AF154&gt;250,1,IF(AF154&lt;250,0)))))))))))))))),"")</f>
        <v/>
      </c>
      <c r="AG166" s="43" t="str">
        <f aca="false">IF(AG154&lt;&gt;"",IF(AG154&gt;4096000,15,IF(AG154&gt;2048000,14,IF(AG154&gt;1024000,13,IF(AG154&gt;512000,12,IF(AG154&gt;256000,11,IF(AG154&gt;128000,10,IF(AG154&gt;64000,9,IF(AG154&gt;32000,8,IF(AG154&gt;16000,7,IF(AG154&gt;8000,6,IF(AG154&gt;4000,5,IF(AG154&gt;2000,4,IF(AG154&gt;1000,3,IF(AG154&gt;500,2,IF(AG154&gt;250,1,IF(AG154&lt;250,0)))))))))))))))),"")</f>
        <v/>
      </c>
      <c r="AH166" s="43" t="str">
        <f aca="false">IF(AH154&lt;&gt;"",IF(AH154&gt;4096000,15,IF(AH154&gt;2048000,14,IF(AH154&gt;1024000,13,IF(AH154&gt;512000,12,IF(AH154&gt;256000,11,IF(AH154&gt;128000,10,IF(AH154&gt;64000,9,IF(AH154&gt;32000,8,IF(AH154&gt;16000,7,IF(AH154&gt;8000,6,IF(AH154&gt;4000,5,IF(AH154&gt;2000,4,IF(AH154&gt;1000,3,IF(AH154&gt;500,2,IF(AH154&gt;250,1,IF(AH154&lt;250,0)))))))))))))))),"")</f>
        <v/>
      </c>
      <c r="AI166" s="43" t="str">
        <f aca="false">IF(AI154&lt;&gt;"",IF(AI154&gt;4096000,15,IF(AI154&gt;2048000,14,IF(AI154&gt;1024000,13,IF(AI154&gt;512000,12,IF(AI154&gt;256000,11,IF(AI154&gt;128000,10,IF(AI154&gt;64000,9,IF(AI154&gt;32000,8,IF(AI154&gt;16000,7,IF(AI154&gt;8000,6,IF(AI154&gt;4000,5,IF(AI154&gt;2000,4,IF(AI154&gt;1000,3,IF(AI154&gt;500,2,IF(AI154&gt;250,1,IF(AI154&lt;250,0)))))))))))))))),"")</f>
        <v/>
      </c>
      <c r="AJ166" s="43" t="str">
        <f aca="false">IF(AJ154&lt;&gt;"",IF(AJ154&gt;4096000,15,IF(AJ154&gt;2048000,14,IF(AJ154&gt;1024000,13,IF(AJ154&gt;512000,12,IF(AJ154&gt;256000,11,IF(AJ154&gt;128000,10,IF(AJ154&gt;64000,9,IF(AJ154&gt;32000,8,IF(AJ154&gt;16000,7,IF(AJ154&gt;8000,6,IF(AJ154&gt;4000,5,IF(AJ154&gt;2000,4,IF(AJ154&gt;1000,3,IF(AJ154&gt;500,2,IF(AJ154&gt;250,1,IF(AJ154&lt;250,0)))))))))))))))),"")</f>
        <v/>
      </c>
      <c r="AK166" s="44" t="str">
        <f aca="false">IF(AK154&lt;&gt;"",IF(AK154&gt;4096000,15,IF(AK154&gt;2048000,14,IF(AK154&gt;1024000,13,IF(AK154&gt;512000,12,IF(AK154&gt;256000,11,IF(AK154&gt;128000,10,IF(AK154&gt;64000,9,IF(AK154&gt;32000,8,IF(AK154&gt;16000,7,IF(AK154&gt;8000,6,IF(AK154&gt;4000,5,IF(AK154&gt;2000,4,IF(AK154&gt;1000,3,IF(AK154&gt;500,2,IF(AK154&gt;250,1,IF(AK154&lt;250,0)))))))))))))))),"")</f>
        <v/>
      </c>
      <c r="AL166" s="33"/>
      <c r="AM166" s="34"/>
      <c r="AN166" s="34"/>
      <c r="AO166" s="34"/>
      <c r="AP166" s="34"/>
      <c r="AQ166" s="34"/>
      <c r="AR166" s="40"/>
    </row>
    <row r="167" s="37" customFormat="true" ht="13.8" hidden="false" customHeight="false" outlineLevel="0" collapsed="false">
      <c r="A167" s="31"/>
      <c r="B167" s="36"/>
      <c r="C167" s="37" t="s">
        <v>110</v>
      </c>
      <c r="D167" s="37" t="s">
        <v>306</v>
      </c>
      <c r="E167" s="43" t="str">
        <f aca="false">IF(E155&lt;&gt;"",IF(E155&gt;729600,15,IF(E155&gt;364800,14,IF(E155&gt;182400,13,IF(E155&gt;91200,12,IF(E155&gt;45600,11,IF(E155&gt;22800,10,IF(E155&gt;11400,9,IF(E155&gt;5700,8,IF(E155&gt;2850,7,IF(E155&gt;1425,6,IF(E155&gt;712,5,IF(E155&gt;356,4,IF(E155&gt;178,3,IF(E155&gt;88,2,IF(E155&gt;44,1,IF(E155&lt;44,0)))))))))))))))),"")</f>
        <v/>
      </c>
      <c r="F167" s="43" t="str">
        <f aca="false">IF(F155&lt;&gt;"",IF(F155&gt;729600,15,IF(F155&gt;364800,14,IF(F155&gt;182400,13,IF(F155&gt;91200,12,IF(F155&gt;45600,11,IF(F155&gt;22800,10,IF(F155&gt;11400,9,IF(F155&gt;5700,8,IF(F155&gt;2850,7,IF(F155&gt;1425,6,IF(F155&gt;712,5,IF(F155&gt;356,4,IF(F155&gt;178,3,IF(F155&gt;88,2,IF(F155&gt;44,1,IF(F155&lt;44,0)))))))))))))))),"")</f>
        <v/>
      </c>
      <c r="G167" s="43" t="str">
        <f aca="false">IF(G155&lt;&gt;"",IF(G155&gt;729600,15,IF(G155&gt;364800,14,IF(G155&gt;182400,13,IF(G155&gt;91200,12,IF(G155&gt;45600,11,IF(G155&gt;22800,10,IF(G155&gt;11400,9,IF(G155&gt;5700,8,IF(G155&gt;2850,7,IF(G155&gt;1425,6,IF(G155&gt;712,5,IF(G155&gt;356,4,IF(G155&gt;178,3,IF(G155&gt;88,2,IF(G155&gt;44,1,IF(G155&lt;44,0)))))))))))))))),"")</f>
        <v/>
      </c>
      <c r="H167" s="43" t="str">
        <f aca="false">IF(H155&lt;&gt;"",IF(H155&gt;729600,15,IF(H155&gt;364800,14,IF(H155&gt;182400,13,IF(H155&gt;91200,12,IF(H155&gt;45600,11,IF(H155&gt;22800,10,IF(H155&gt;11400,9,IF(H155&gt;5700,8,IF(H155&gt;2850,7,IF(H155&gt;1425,6,IF(H155&gt;712,5,IF(H155&gt;356,4,IF(H155&gt;178,3,IF(H155&gt;88,2,IF(H155&gt;44,1,IF(H155&lt;44,0)))))))))))))))),"")</f>
        <v/>
      </c>
      <c r="I167" s="43" t="str">
        <f aca="false">IF(I155&lt;&gt;"",IF(I155&gt;729600,15,IF(I155&gt;364800,14,IF(I155&gt;182400,13,IF(I155&gt;91200,12,IF(I155&gt;45600,11,IF(I155&gt;22800,10,IF(I155&gt;11400,9,IF(I155&gt;5700,8,IF(I155&gt;2850,7,IF(I155&gt;1425,6,IF(I155&gt;712,5,IF(I155&gt;356,4,IF(I155&gt;178,3,IF(I155&gt;88,2,IF(I155&gt;44,1,IF(I155&lt;44,0)))))))))))))))),"")</f>
        <v/>
      </c>
      <c r="J167" s="43" t="str">
        <f aca="false">IF(J155&lt;&gt;"",IF(J155&gt;729600,15,IF(J155&gt;364800,14,IF(J155&gt;182400,13,IF(J155&gt;91200,12,IF(J155&gt;45600,11,IF(J155&gt;22800,10,IF(J155&gt;11400,9,IF(J155&gt;5700,8,IF(J155&gt;2850,7,IF(J155&gt;1425,6,IF(J155&gt;712,5,IF(J155&gt;356,4,IF(J155&gt;178,3,IF(J155&gt;88,2,IF(J155&gt;44,1,IF(J155&lt;44,0)))))))))))))))),"")</f>
        <v/>
      </c>
      <c r="K167" s="43" t="str">
        <f aca="false">IF(K155&lt;&gt;"",IF(K155&gt;729600,15,IF(K155&gt;364800,14,IF(K155&gt;182400,13,IF(K155&gt;91200,12,IF(K155&gt;45600,11,IF(K155&gt;22800,10,IF(K155&gt;11400,9,IF(K155&gt;5700,8,IF(K155&gt;2850,7,IF(K155&gt;1425,6,IF(K155&gt;712,5,IF(K155&gt;356,4,IF(K155&gt;178,3,IF(K155&gt;88,2,IF(K155&gt;44,1,IF(K155&lt;44,0)))))))))))))))),"")</f>
        <v/>
      </c>
      <c r="L167" s="43" t="str">
        <f aca="false">IF(L155&lt;&gt;"",IF(L155&gt;729600,15,IF(L155&gt;364800,14,IF(L155&gt;182400,13,IF(L155&gt;91200,12,IF(L155&gt;45600,11,IF(L155&gt;22800,10,IF(L155&gt;11400,9,IF(L155&gt;5700,8,IF(L155&gt;2850,7,IF(L155&gt;1425,6,IF(L155&gt;712,5,IF(L155&gt;356,4,IF(L155&gt;178,3,IF(L155&gt;88,2,IF(L155&gt;44,1,IF(L155&lt;44,0)))))))))))))))),"")</f>
        <v/>
      </c>
      <c r="M167" s="43" t="str">
        <f aca="false">IF(M155&lt;&gt;"",IF(M155&gt;729600,15,IF(M155&gt;364800,14,IF(M155&gt;182400,13,IF(M155&gt;91200,12,IF(M155&gt;45600,11,IF(M155&gt;22800,10,IF(M155&gt;11400,9,IF(M155&gt;5700,8,IF(M155&gt;2850,7,IF(M155&gt;1425,6,IF(M155&gt;712,5,IF(M155&gt;356,4,IF(M155&gt;178,3,IF(M155&gt;88,2,IF(M155&gt;44,1,IF(M155&lt;44,0)))))))))))))))),"")</f>
        <v/>
      </c>
      <c r="N167" s="43" t="str">
        <f aca="false">IF(N155&lt;&gt;"",IF(N155&gt;729600,15,IF(N155&gt;364800,14,IF(N155&gt;182400,13,IF(N155&gt;91200,12,IF(N155&gt;45600,11,IF(N155&gt;22800,10,IF(N155&gt;11400,9,IF(N155&gt;5700,8,IF(N155&gt;2850,7,IF(N155&gt;1425,6,IF(N155&gt;712,5,IF(N155&gt;356,4,IF(N155&gt;178,3,IF(N155&gt;88,2,IF(N155&gt;44,1,IF(N155&lt;44,0)))))))))))))))),"")</f>
        <v/>
      </c>
      <c r="O167" s="43" t="str">
        <f aca="false">IF(O155&lt;&gt;"",IF(O155&gt;729600,15,IF(O155&gt;364800,14,IF(O155&gt;182400,13,IF(O155&gt;91200,12,IF(O155&gt;45600,11,IF(O155&gt;22800,10,IF(O155&gt;11400,9,IF(O155&gt;5700,8,IF(O155&gt;2850,7,IF(O155&gt;1425,6,IF(O155&gt;712,5,IF(O155&gt;356,4,IF(O155&gt;178,3,IF(O155&gt;88,2,IF(O155&gt;44,1,IF(O155&lt;44,0)))))))))))))))),"")</f>
        <v/>
      </c>
      <c r="P167" s="43" t="str">
        <f aca="false">IF(P155&lt;&gt;"",IF(P155&gt;729600,15,IF(P155&gt;364800,14,IF(P155&gt;182400,13,IF(P155&gt;91200,12,IF(P155&gt;45600,11,IF(P155&gt;22800,10,IF(P155&gt;11400,9,IF(P155&gt;5700,8,IF(P155&gt;2850,7,IF(P155&gt;1425,6,IF(P155&gt;712,5,IF(P155&gt;356,4,IF(P155&gt;178,3,IF(P155&gt;88,2,IF(P155&gt;44,1,IF(P155&lt;44,0)))))))))))))))),"")</f>
        <v/>
      </c>
      <c r="Q167" s="43" t="str">
        <f aca="false">IF(Q155&lt;&gt;"",IF(Q155&gt;729600,15,IF(Q155&gt;364800,14,IF(Q155&gt;182400,13,IF(Q155&gt;91200,12,IF(Q155&gt;45600,11,IF(Q155&gt;22800,10,IF(Q155&gt;11400,9,IF(Q155&gt;5700,8,IF(Q155&gt;2850,7,IF(Q155&gt;1425,6,IF(Q155&gt;712,5,IF(Q155&gt;356,4,IF(Q155&gt;178,3,IF(Q155&gt;88,2,IF(Q155&gt;44,1,IF(Q155&lt;44,0)))))))))))))))),"")</f>
        <v/>
      </c>
      <c r="R167" s="43" t="str">
        <f aca="false">IF(R155&lt;&gt;"",IF(R155&gt;729600,15,IF(R155&gt;364800,14,IF(R155&gt;182400,13,IF(R155&gt;91200,12,IF(R155&gt;45600,11,IF(R155&gt;22800,10,IF(R155&gt;11400,9,IF(R155&gt;5700,8,IF(R155&gt;2850,7,IF(R155&gt;1425,6,IF(R155&gt;712,5,IF(R155&gt;356,4,IF(R155&gt;178,3,IF(R155&gt;88,2,IF(R155&gt;44,1,IF(R155&lt;44,0)))))))))))))))),"")</f>
        <v/>
      </c>
      <c r="S167" s="43" t="str">
        <f aca="false">IF(S155&lt;&gt;"",IF(S155&gt;729600,15,IF(S155&gt;364800,14,IF(S155&gt;182400,13,IF(S155&gt;91200,12,IF(S155&gt;45600,11,IF(S155&gt;22800,10,IF(S155&gt;11400,9,IF(S155&gt;5700,8,IF(S155&gt;2850,7,IF(S155&gt;1425,6,IF(S155&gt;712,5,IF(S155&gt;356,4,IF(S155&gt;178,3,IF(S155&gt;88,2,IF(S155&gt;44,1,IF(S155&lt;44,0)))))))))))))))),"")</f>
        <v/>
      </c>
      <c r="T167" s="43" t="str">
        <f aca="false">IF(T155&lt;&gt;"",IF(T155&gt;729600,15,IF(T155&gt;364800,14,IF(T155&gt;182400,13,IF(T155&gt;91200,12,IF(T155&gt;45600,11,IF(T155&gt;22800,10,IF(T155&gt;11400,9,IF(T155&gt;5700,8,IF(T155&gt;2850,7,IF(T155&gt;1425,6,IF(T155&gt;712,5,IF(T155&gt;356,4,IF(T155&gt;178,3,IF(T155&gt;88,2,IF(T155&gt;44,1,IF(T155&lt;44,0)))))))))))))))),"")</f>
        <v/>
      </c>
      <c r="U167" s="43" t="str">
        <f aca="false">IF(U155&lt;&gt;"",IF(U155&gt;729600,15,IF(U155&gt;364800,14,IF(U155&gt;182400,13,IF(U155&gt;91200,12,IF(U155&gt;45600,11,IF(U155&gt;22800,10,IF(U155&gt;11400,9,IF(U155&gt;5700,8,IF(U155&gt;2850,7,IF(U155&gt;1425,6,IF(U155&gt;712,5,IF(U155&gt;356,4,IF(U155&gt;178,3,IF(U155&gt;88,2,IF(U155&gt;44,1,IF(U155&lt;44,0)))))))))))))))),"")</f>
        <v/>
      </c>
      <c r="V167" s="43" t="str">
        <f aca="false">IF(V155&lt;&gt;"",IF(V155&gt;729600,15,IF(V155&gt;364800,14,IF(V155&gt;182400,13,IF(V155&gt;91200,12,IF(V155&gt;45600,11,IF(V155&gt;22800,10,IF(V155&gt;11400,9,IF(V155&gt;5700,8,IF(V155&gt;2850,7,IF(V155&gt;1425,6,IF(V155&gt;712,5,IF(V155&gt;356,4,IF(V155&gt;178,3,IF(V155&gt;88,2,IF(V155&gt;44,1,IF(V155&lt;44,0)))))))))))))))),"")</f>
        <v/>
      </c>
      <c r="W167" s="43" t="str">
        <f aca="false">IF(W155&lt;&gt;"",IF(W155&gt;729600,15,IF(W155&gt;364800,14,IF(W155&gt;182400,13,IF(W155&gt;91200,12,IF(W155&gt;45600,11,IF(W155&gt;22800,10,IF(W155&gt;11400,9,IF(W155&gt;5700,8,IF(W155&gt;2850,7,IF(W155&gt;1425,6,IF(W155&gt;712,5,IF(W155&gt;356,4,IF(W155&gt;178,3,IF(W155&gt;88,2,IF(W155&gt;44,1,IF(W155&lt;44,0)))))))))))))))),"")</f>
        <v/>
      </c>
      <c r="X167" s="43" t="str">
        <f aca="false">IF(X155&lt;&gt;"",IF(X155&gt;729600,15,IF(X155&gt;364800,14,IF(X155&gt;182400,13,IF(X155&gt;91200,12,IF(X155&gt;45600,11,IF(X155&gt;22800,10,IF(X155&gt;11400,9,IF(X155&gt;5700,8,IF(X155&gt;2850,7,IF(X155&gt;1425,6,IF(X155&gt;712,5,IF(X155&gt;356,4,IF(X155&gt;178,3,IF(X155&gt;88,2,IF(X155&gt;44,1,IF(X155&lt;44,0)))))))))))))))),"")</f>
        <v/>
      </c>
      <c r="Y167" s="43" t="str">
        <f aca="false">IF(Y155&lt;&gt;"",IF(Y155&gt;729600,15,IF(Y155&gt;364800,14,IF(Y155&gt;182400,13,IF(Y155&gt;91200,12,IF(Y155&gt;45600,11,IF(Y155&gt;22800,10,IF(Y155&gt;11400,9,IF(Y155&gt;5700,8,IF(Y155&gt;2850,7,IF(Y155&gt;1425,6,IF(Y155&gt;712,5,IF(Y155&gt;356,4,IF(Y155&gt;178,3,IF(Y155&gt;88,2,IF(Y155&gt;44,1,IF(Y155&lt;44,0)))))))))))))))),"")</f>
        <v/>
      </c>
      <c r="Z167" s="43" t="str">
        <f aca="false">IF(Z155&lt;&gt;"",IF(Z155&gt;729600,15,IF(Z155&gt;364800,14,IF(Z155&gt;182400,13,IF(Z155&gt;91200,12,IF(Z155&gt;45600,11,IF(Z155&gt;22800,10,IF(Z155&gt;11400,9,IF(Z155&gt;5700,8,IF(Z155&gt;2850,7,IF(Z155&gt;1425,6,IF(Z155&gt;712,5,IF(Z155&gt;356,4,IF(Z155&gt;178,3,IF(Z155&gt;88,2,IF(Z155&gt;44,1,IF(Z155&lt;44,0)))))))))))))))),"")</f>
        <v/>
      </c>
      <c r="AA167" s="43" t="str">
        <f aca="false">IF(AA155&lt;&gt;"",IF(AA155&gt;729600,15,IF(AA155&gt;364800,14,IF(AA155&gt;182400,13,IF(AA155&gt;91200,12,IF(AA155&gt;45600,11,IF(AA155&gt;22800,10,IF(AA155&gt;11400,9,IF(AA155&gt;5700,8,IF(AA155&gt;2850,7,IF(AA155&gt;1425,6,IF(AA155&gt;712,5,IF(AA155&gt;356,4,IF(AA155&gt;178,3,IF(AA155&gt;88,2,IF(AA155&gt;44,1,IF(AA155&lt;44,0)))))))))))))))),"")</f>
        <v/>
      </c>
      <c r="AB167" s="43" t="str">
        <f aca="false">IF(AB155&lt;&gt;"",IF(AB155&gt;729600,15,IF(AB155&gt;364800,14,IF(AB155&gt;182400,13,IF(AB155&gt;91200,12,IF(AB155&gt;45600,11,IF(AB155&gt;22800,10,IF(AB155&gt;11400,9,IF(AB155&gt;5700,8,IF(AB155&gt;2850,7,IF(AB155&gt;1425,6,IF(AB155&gt;712,5,IF(AB155&gt;356,4,IF(AB155&gt;178,3,IF(AB155&gt;88,2,IF(AB155&gt;44,1,IF(AB155&lt;44,0)))))))))))))))),"")</f>
        <v/>
      </c>
      <c r="AC167" s="43" t="str">
        <f aca="false">IF(AC155&lt;&gt;"",IF(AC155&gt;729600,15,IF(AC155&gt;364800,14,IF(AC155&gt;182400,13,IF(AC155&gt;91200,12,IF(AC155&gt;45600,11,IF(AC155&gt;22800,10,IF(AC155&gt;11400,9,IF(AC155&gt;5700,8,IF(AC155&gt;2850,7,IF(AC155&gt;1425,6,IF(AC155&gt;712,5,IF(AC155&gt;356,4,IF(AC155&gt;178,3,IF(AC155&gt;88,2,IF(AC155&gt;44,1,IF(AC155&lt;44,0)))))))))))))))),"")</f>
        <v/>
      </c>
      <c r="AD167" s="43" t="str">
        <f aca="false">IF(AD155&lt;&gt;"",IF(AD155&gt;729600,15,IF(AD155&gt;364800,14,IF(AD155&gt;182400,13,IF(AD155&gt;91200,12,IF(AD155&gt;45600,11,IF(AD155&gt;22800,10,IF(AD155&gt;11400,9,IF(AD155&gt;5700,8,IF(AD155&gt;2850,7,IF(AD155&gt;1425,6,IF(AD155&gt;712,5,IF(AD155&gt;356,4,IF(AD155&gt;178,3,IF(AD155&gt;88,2,IF(AD155&gt;44,1,IF(AD155&lt;44,0)))))))))))))))),"")</f>
        <v/>
      </c>
      <c r="AE167" s="43" t="str">
        <f aca="false">IF(AE155&lt;&gt;"",IF(AE155&gt;729600,15,IF(AE155&gt;364800,14,IF(AE155&gt;182400,13,IF(AE155&gt;91200,12,IF(AE155&gt;45600,11,IF(AE155&gt;22800,10,IF(AE155&gt;11400,9,IF(AE155&gt;5700,8,IF(AE155&gt;2850,7,IF(AE155&gt;1425,6,IF(AE155&gt;712,5,IF(AE155&gt;356,4,IF(AE155&gt;178,3,IF(AE155&gt;88,2,IF(AE155&gt;44,1,IF(AE155&lt;44,0)))))))))))))))),"")</f>
        <v/>
      </c>
      <c r="AF167" s="43" t="str">
        <f aca="false">IF(AF155&lt;&gt;"",IF(AF155&gt;729600,15,IF(AF155&gt;364800,14,IF(AF155&gt;182400,13,IF(AF155&gt;91200,12,IF(AF155&gt;45600,11,IF(AF155&gt;22800,10,IF(AF155&gt;11400,9,IF(AF155&gt;5700,8,IF(AF155&gt;2850,7,IF(AF155&gt;1425,6,IF(AF155&gt;712,5,IF(AF155&gt;356,4,IF(AF155&gt;178,3,IF(AF155&gt;88,2,IF(AF155&gt;44,1,IF(AF155&lt;44,0)))))))))))))))),"")</f>
        <v/>
      </c>
      <c r="AG167" s="43" t="str">
        <f aca="false">IF(AG155&lt;&gt;"",IF(AG155&gt;729600,15,IF(AG155&gt;364800,14,IF(AG155&gt;182400,13,IF(AG155&gt;91200,12,IF(AG155&gt;45600,11,IF(AG155&gt;22800,10,IF(AG155&gt;11400,9,IF(AG155&gt;5700,8,IF(AG155&gt;2850,7,IF(AG155&gt;1425,6,IF(AG155&gt;712,5,IF(AG155&gt;356,4,IF(AG155&gt;178,3,IF(AG155&gt;88,2,IF(AG155&gt;44,1,IF(AG155&lt;44,0)))))))))))))))),"")</f>
        <v/>
      </c>
      <c r="AH167" s="43" t="str">
        <f aca="false">IF(AH155&lt;&gt;"",IF(AH155&gt;729600,15,IF(AH155&gt;364800,14,IF(AH155&gt;182400,13,IF(AH155&gt;91200,12,IF(AH155&gt;45600,11,IF(AH155&gt;22800,10,IF(AH155&gt;11400,9,IF(AH155&gt;5700,8,IF(AH155&gt;2850,7,IF(AH155&gt;1425,6,IF(AH155&gt;712,5,IF(AH155&gt;356,4,IF(AH155&gt;178,3,IF(AH155&gt;88,2,IF(AH155&gt;44,1,IF(AH155&lt;44,0)))))))))))))))),"")</f>
        <v/>
      </c>
      <c r="AI167" s="43" t="str">
        <f aca="false">IF(AI155&lt;&gt;"",IF(AI155&gt;729600,15,IF(AI155&gt;364800,14,IF(AI155&gt;182400,13,IF(AI155&gt;91200,12,IF(AI155&gt;45600,11,IF(AI155&gt;22800,10,IF(AI155&gt;11400,9,IF(AI155&gt;5700,8,IF(AI155&gt;2850,7,IF(AI155&gt;1425,6,IF(AI155&gt;712,5,IF(AI155&gt;356,4,IF(AI155&gt;178,3,IF(AI155&gt;88,2,IF(AI155&gt;44,1,IF(AI155&lt;44,0)))))))))))))))),"")</f>
        <v/>
      </c>
      <c r="AJ167" s="43" t="str">
        <f aca="false">IF(AJ155&lt;&gt;"",IF(AJ155&gt;729600,15,IF(AJ155&gt;364800,14,IF(AJ155&gt;182400,13,IF(AJ155&gt;91200,12,IF(AJ155&gt;45600,11,IF(AJ155&gt;22800,10,IF(AJ155&gt;11400,9,IF(AJ155&gt;5700,8,IF(AJ155&gt;2850,7,IF(AJ155&gt;1425,6,IF(AJ155&gt;712,5,IF(AJ155&gt;356,4,IF(AJ155&gt;178,3,IF(AJ155&gt;88,2,IF(AJ155&gt;44,1,IF(AJ155&lt;44,0)))))))))))))))),"")</f>
        <v/>
      </c>
      <c r="AK167" s="44" t="str">
        <f aca="false">IF(AK155&lt;&gt;"",IF(AK155&gt;729600,15,IF(AK155&gt;364800,14,IF(AK155&gt;182400,13,IF(AK155&gt;91200,12,IF(AK155&gt;45600,11,IF(AK155&gt;22800,10,IF(AK155&gt;11400,9,IF(AK155&gt;5700,8,IF(AK155&gt;2850,7,IF(AK155&gt;1425,6,IF(AK155&gt;712,5,IF(AK155&gt;356,4,IF(AK155&gt;178,3,IF(AK155&gt;88,2,IF(AK155&gt;44,1,IF(AK155&lt;44,0)))))))))))))))),"")</f>
        <v/>
      </c>
      <c r="AL167" s="33"/>
      <c r="AM167" s="34"/>
      <c r="AN167" s="34"/>
      <c r="AO167" s="34"/>
      <c r="AP167" s="34"/>
      <c r="AQ167" s="34"/>
      <c r="AR167" s="40"/>
    </row>
    <row r="168" s="37" customFormat="true" ht="13.8" hidden="false" customHeight="false" outlineLevel="0" collapsed="false">
      <c r="A168" s="31"/>
      <c r="B168" s="36"/>
      <c r="C168" s="37" t="s">
        <v>112</v>
      </c>
      <c r="D168" s="37" t="s">
        <v>307</v>
      </c>
      <c r="E168" s="43" t="str">
        <f aca="false">IF(E156&lt;&gt;"",IF(E156&gt;129600,15,IF(E156&gt;64800,14,IF(E156&gt;32400,13,IF(E156&gt;16200,12,IF(E156&gt;8100,11,IF(E156&gt;4050,10,IF(E156&gt;2025,9,IF(E156&gt;1012,8,IF(E156&gt;506,7,IF(E156&gt;253,6,IF(E156&gt;126,5,IF(E156&gt;63,4,IF(E156&gt;32,3,IF(E156&gt;16,2,IF(E156&gt;8,1,IF(E156&lt;8,0)))))))))))))))),"")</f>
        <v/>
      </c>
      <c r="F168" s="43" t="str">
        <f aca="false">IF(F156&lt;&gt;"",IF(F156&gt;129600,15,IF(F156&gt;64800,14,IF(F156&gt;32400,13,IF(F156&gt;16200,12,IF(F156&gt;8100,11,IF(F156&gt;4050,10,IF(F156&gt;2025,9,IF(F156&gt;1012,8,IF(F156&gt;506,7,IF(F156&gt;253,6,IF(F156&gt;126,5,IF(F156&gt;63,4,IF(F156&gt;32,3,IF(F156&gt;16,2,IF(F156&gt;8,1,IF(F156&lt;8,0)))))))))))))))),"")</f>
        <v/>
      </c>
      <c r="G168" s="43" t="str">
        <f aca="false">IF(G156&lt;&gt;"",IF(G156&gt;129600,15,IF(G156&gt;64800,14,IF(G156&gt;32400,13,IF(G156&gt;16200,12,IF(G156&gt;8100,11,IF(G156&gt;4050,10,IF(G156&gt;2025,9,IF(G156&gt;1012,8,IF(G156&gt;506,7,IF(G156&gt;253,6,IF(G156&gt;126,5,IF(G156&gt;63,4,IF(G156&gt;32,3,IF(G156&gt;16,2,IF(G156&gt;8,1,IF(G156&lt;8,0)))))))))))))))),"")</f>
        <v/>
      </c>
      <c r="H168" s="43" t="str">
        <f aca="false">IF(H156&lt;&gt;"",IF(H156&gt;129600,15,IF(H156&gt;64800,14,IF(H156&gt;32400,13,IF(H156&gt;16200,12,IF(H156&gt;8100,11,IF(H156&gt;4050,10,IF(H156&gt;2025,9,IF(H156&gt;1012,8,IF(H156&gt;506,7,IF(H156&gt;253,6,IF(H156&gt;126,5,IF(H156&gt;63,4,IF(H156&gt;32,3,IF(H156&gt;16,2,IF(H156&gt;8,1,IF(H156&lt;8,0)))))))))))))))),"")</f>
        <v/>
      </c>
      <c r="I168" s="43" t="str">
        <f aca="false">IF(I156&lt;&gt;"",IF(I156&gt;129600,15,IF(I156&gt;64800,14,IF(I156&gt;32400,13,IF(I156&gt;16200,12,IF(I156&gt;8100,11,IF(I156&gt;4050,10,IF(I156&gt;2025,9,IF(I156&gt;1012,8,IF(I156&gt;506,7,IF(I156&gt;253,6,IF(I156&gt;126,5,IF(I156&gt;63,4,IF(I156&gt;32,3,IF(I156&gt;16,2,IF(I156&gt;8,1,IF(I156&lt;8,0)))))))))))))))),"")</f>
        <v/>
      </c>
      <c r="J168" s="43" t="str">
        <f aca="false">IF(J156&lt;&gt;"",IF(J156&gt;129600,15,IF(J156&gt;64800,14,IF(J156&gt;32400,13,IF(J156&gt;16200,12,IF(J156&gt;8100,11,IF(J156&gt;4050,10,IF(J156&gt;2025,9,IF(J156&gt;1012,8,IF(J156&gt;506,7,IF(J156&gt;253,6,IF(J156&gt;126,5,IF(J156&gt;63,4,IF(J156&gt;32,3,IF(J156&gt;16,2,IF(J156&gt;8,1,IF(J156&lt;8,0)))))))))))))))),"")</f>
        <v/>
      </c>
      <c r="K168" s="43" t="str">
        <f aca="false">IF(K156&lt;&gt;"",IF(K156&gt;129600,15,IF(K156&gt;64800,14,IF(K156&gt;32400,13,IF(K156&gt;16200,12,IF(K156&gt;8100,11,IF(K156&gt;4050,10,IF(K156&gt;2025,9,IF(K156&gt;1012,8,IF(K156&gt;506,7,IF(K156&gt;253,6,IF(K156&gt;126,5,IF(K156&gt;63,4,IF(K156&gt;32,3,IF(K156&gt;16,2,IF(K156&gt;8,1,IF(K156&lt;8,0)))))))))))))))),"")</f>
        <v/>
      </c>
      <c r="L168" s="43" t="str">
        <f aca="false">IF(L156&lt;&gt;"",IF(L156&gt;129600,15,IF(L156&gt;64800,14,IF(L156&gt;32400,13,IF(L156&gt;16200,12,IF(L156&gt;8100,11,IF(L156&gt;4050,10,IF(L156&gt;2025,9,IF(L156&gt;1012,8,IF(L156&gt;506,7,IF(L156&gt;253,6,IF(L156&gt;126,5,IF(L156&gt;63,4,IF(L156&gt;32,3,IF(L156&gt;16,2,IF(L156&gt;8,1,IF(L156&lt;8,0)))))))))))))))),"")</f>
        <v/>
      </c>
      <c r="M168" s="43" t="str">
        <f aca="false">IF(M156&lt;&gt;"",IF(M156&gt;129600,15,IF(M156&gt;64800,14,IF(M156&gt;32400,13,IF(M156&gt;16200,12,IF(M156&gt;8100,11,IF(M156&gt;4050,10,IF(M156&gt;2025,9,IF(M156&gt;1012,8,IF(M156&gt;506,7,IF(M156&gt;253,6,IF(M156&gt;126,5,IF(M156&gt;63,4,IF(M156&gt;32,3,IF(M156&gt;16,2,IF(M156&gt;8,1,IF(M156&lt;8,0)))))))))))))))),"")</f>
        <v/>
      </c>
      <c r="N168" s="43" t="str">
        <f aca="false">IF(N156&lt;&gt;"",IF(N156&gt;129600,15,IF(N156&gt;64800,14,IF(N156&gt;32400,13,IF(N156&gt;16200,12,IF(N156&gt;8100,11,IF(N156&gt;4050,10,IF(N156&gt;2025,9,IF(N156&gt;1012,8,IF(N156&gt;506,7,IF(N156&gt;253,6,IF(N156&gt;126,5,IF(N156&gt;63,4,IF(N156&gt;32,3,IF(N156&gt;16,2,IF(N156&gt;8,1,IF(N156&lt;8,0)))))))))))))))),"")</f>
        <v/>
      </c>
      <c r="O168" s="43" t="str">
        <f aca="false">IF(O156&lt;&gt;"",IF(O156&gt;129600,15,IF(O156&gt;64800,14,IF(O156&gt;32400,13,IF(O156&gt;16200,12,IF(O156&gt;8100,11,IF(O156&gt;4050,10,IF(O156&gt;2025,9,IF(O156&gt;1012,8,IF(O156&gt;506,7,IF(O156&gt;253,6,IF(O156&gt;126,5,IF(O156&gt;63,4,IF(O156&gt;32,3,IF(O156&gt;16,2,IF(O156&gt;8,1,IF(O156&lt;8,0)))))))))))))))),"")</f>
        <v/>
      </c>
      <c r="P168" s="43" t="str">
        <f aca="false">IF(P156&lt;&gt;"",IF(P156&gt;129600,15,IF(P156&gt;64800,14,IF(P156&gt;32400,13,IF(P156&gt;16200,12,IF(P156&gt;8100,11,IF(P156&gt;4050,10,IF(P156&gt;2025,9,IF(P156&gt;1012,8,IF(P156&gt;506,7,IF(P156&gt;253,6,IF(P156&gt;126,5,IF(P156&gt;63,4,IF(P156&gt;32,3,IF(P156&gt;16,2,IF(P156&gt;8,1,IF(P156&lt;8,0)))))))))))))))),"")</f>
        <v/>
      </c>
      <c r="Q168" s="43" t="str">
        <f aca="false">IF(Q156&lt;&gt;"",IF(Q156&gt;129600,15,IF(Q156&gt;64800,14,IF(Q156&gt;32400,13,IF(Q156&gt;16200,12,IF(Q156&gt;8100,11,IF(Q156&gt;4050,10,IF(Q156&gt;2025,9,IF(Q156&gt;1012,8,IF(Q156&gt;506,7,IF(Q156&gt;253,6,IF(Q156&gt;126,5,IF(Q156&gt;63,4,IF(Q156&gt;32,3,IF(Q156&gt;16,2,IF(Q156&gt;8,1,IF(Q156&lt;8,0)))))))))))))))),"")</f>
        <v/>
      </c>
      <c r="R168" s="43" t="str">
        <f aca="false">IF(R156&lt;&gt;"",IF(R156&gt;129600,15,IF(R156&gt;64800,14,IF(R156&gt;32400,13,IF(R156&gt;16200,12,IF(R156&gt;8100,11,IF(R156&gt;4050,10,IF(R156&gt;2025,9,IF(R156&gt;1012,8,IF(R156&gt;506,7,IF(R156&gt;253,6,IF(R156&gt;126,5,IF(R156&gt;63,4,IF(R156&gt;32,3,IF(R156&gt;16,2,IF(R156&gt;8,1,IF(R156&lt;8,0)))))))))))))))),"")</f>
        <v/>
      </c>
      <c r="S168" s="43" t="str">
        <f aca="false">IF(S156&lt;&gt;"",IF(S156&gt;129600,15,IF(S156&gt;64800,14,IF(S156&gt;32400,13,IF(S156&gt;16200,12,IF(S156&gt;8100,11,IF(S156&gt;4050,10,IF(S156&gt;2025,9,IF(S156&gt;1012,8,IF(S156&gt;506,7,IF(S156&gt;253,6,IF(S156&gt;126,5,IF(S156&gt;63,4,IF(S156&gt;32,3,IF(S156&gt;16,2,IF(S156&gt;8,1,IF(S156&lt;8,0)))))))))))))))),"")</f>
        <v/>
      </c>
      <c r="T168" s="43" t="str">
        <f aca="false">IF(T156&lt;&gt;"",IF(T156&gt;129600,15,IF(T156&gt;64800,14,IF(T156&gt;32400,13,IF(T156&gt;16200,12,IF(T156&gt;8100,11,IF(T156&gt;4050,10,IF(T156&gt;2025,9,IF(T156&gt;1012,8,IF(T156&gt;506,7,IF(T156&gt;253,6,IF(T156&gt;126,5,IF(T156&gt;63,4,IF(T156&gt;32,3,IF(T156&gt;16,2,IF(T156&gt;8,1,IF(T156&lt;8,0)))))))))))))))),"")</f>
        <v/>
      </c>
      <c r="U168" s="43" t="str">
        <f aca="false">IF(U156&lt;&gt;"",IF(U156&gt;129600,15,IF(U156&gt;64800,14,IF(U156&gt;32400,13,IF(U156&gt;16200,12,IF(U156&gt;8100,11,IF(U156&gt;4050,10,IF(U156&gt;2025,9,IF(U156&gt;1012,8,IF(U156&gt;506,7,IF(U156&gt;253,6,IF(U156&gt;126,5,IF(U156&gt;63,4,IF(U156&gt;32,3,IF(U156&gt;16,2,IF(U156&gt;8,1,IF(U156&lt;8,0)))))))))))))))),"")</f>
        <v/>
      </c>
      <c r="V168" s="43" t="str">
        <f aca="false">IF(V156&lt;&gt;"",IF(V156&gt;129600,15,IF(V156&gt;64800,14,IF(V156&gt;32400,13,IF(V156&gt;16200,12,IF(V156&gt;8100,11,IF(V156&gt;4050,10,IF(V156&gt;2025,9,IF(V156&gt;1012,8,IF(V156&gt;506,7,IF(V156&gt;253,6,IF(V156&gt;126,5,IF(V156&gt;63,4,IF(V156&gt;32,3,IF(V156&gt;16,2,IF(V156&gt;8,1,IF(V156&lt;8,0)))))))))))))))),"")</f>
        <v/>
      </c>
      <c r="W168" s="43" t="str">
        <f aca="false">IF(W156&lt;&gt;"",IF(W156&gt;129600,15,IF(W156&gt;64800,14,IF(W156&gt;32400,13,IF(W156&gt;16200,12,IF(W156&gt;8100,11,IF(W156&gt;4050,10,IF(W156&gt;2025,9,IF(W156&gt;1012,8,IF(W156&gt;506,7,IF(W156&gt;253,6,IF(W156&gt;126,5,IF(W156&gt;63,4,IF(W156&gt;32,3,IF(W156&gt;16,2,IF(W156&gt;8,1,IF(W156&lt;8,0)))))))))))))))),"")</f>
        <v/>
      </c>
      <c r="X168" s="43" t="str">
        <f aca="false">IF(X156&lt;&gt;"",IF(X156&gt;129600,15,IF(X156&gt;64800,14,IF(X156&gt;32400,13,IF(X156&gt;16200,12,IF(X156&gt;8100,11,IF(X156&gt;4050,10,IF(X156&gt;2025,9,IF(X156&gt;1012,8,IF(X156&gt;506,7,IF(X156&gt;253,6,IF(X156&gt;126,5,IF(X156&gt;63,4,IF(X156&gt;32,3,IF(X156&gt;16,2,IF(X156&gt;8,1,IF(X156&lt;8,0)))))))))))))))),"")</f>
        <v/>
      </c>
      <c r="Y168" s="43" t="str">
        <f aca="false">IF(Y156&lt;&gt;"",IF(Y156&gt;129600,15,IF(Y156&gt;64800,14,IF(Y156&gt;32400,13,IF(Y156&gt;16200,12,IF(Y156&gt;8100,11,IF(Y156&gt;4050,10,IF(Y156&gt;2025,9,IF(Y156&gt;1012,8,IF(Y156&gt;506,7,IF(Y156&gt;253,6,IF(Y156&gt;126,5,IF(Y156&gt;63,4,IF(Y156&gt;32,3,IF(Y156&gt;16,2,IF(Y156&gt;8,1,IF(Y156&lt;8,0)))))))))))))))),"")</f>
        <v/>
      </c>
      <c r="Z168" s="43" t="str">
        <f aca="false">IF(Z156&lt;&gt;"",IF(Z156&gt;129600,15,IF(Z156&gt;64800,14,IF(Z156&gt;32400,13,IF(Z156&gt;16200,12,IF(Z156&gt;8100,11,IF(Z156&gt;4050,10,IF(Z156&gt;2025,9,IF(Z156&gt;1012,8,IF(Z156&gt;506,7,IF(Z156&gt;253,6,IF(Z156&gt;126,5,IF(Z156&gt;63,4,IF(Z156&gt;32,3,IF(Z156&gt;16,2,IF(Z156&gt;8,1,IF(Z156&lt;8,0)))))))))))))))),"")</f>
        <v/>
      </c>
      <c r="AA168" s="43" t="str">
        <f aca="false">IF(AA156&lt;&gt;"",IF(AA156&gt;129600,15,IF(AA156&gt;64800,14,IF(AA156&gt;32400,13,IF(AA156&gt;16200,12,IF(AA156&gt;8100,11,IF(AA156&gt;4050,10,IF(AA156&gt;2025,9,IF(AA156&gt;1012,8,IF(AA156&gt;506,7,IF(AA156&gt;253,6,IF(AA156&gt;126,5,IF(AA156&gt;63,4,IF(AA156&gt;32,3,IF(AA156&gt;16,2,IF(AA156&gt;8,1,IF(AA156&lt;8,0)))))))))))))))),"")</f>
        <v/>
      </c>
      <c r="AB168" s="43" t="str">
        <f aca="false">IF(AB156&lt;&gt;"",IF(AB156&gt;129600,15,IF(AB156&gt;64800,14,IF(AB156&gt;32400,13,IF(AB156&gt;16200,12,IF(AB156&gt;8100,11,IF(AB156&gt;4050,10,IF(AB156&gt;2025,9,IF(AB156&gt;1012,8,IF(AB156&gt;506,7,IF(AB156&gt;253,6,IF(AB156&gt;126,5,IF(AB156&gt;63,4,IF(AB156&gt;32,3,IF(AB156&gt;16,2,IF(AB156&gt;8,1,IF(AB156&lt;8,0)))))))))))))))),"")</f>
        <v/>
      </c>
      <c r="AC168" s="43" t="str">
        <f aca="false">IF(AC156&lt;&gt;"",IF(AC156&gt;129600,15,IF(AC156&gt;64800,14,IF(AC156&gt;32400,13,IF(AC156&gt;16200,12,IF(AC156&gt;8100,11,IF(AC156&gt;4050,10,IF(AC156&gt;2025,9,IF(AC156&gt;1012,8,IF(AC156&gt;506,7,IF(AC156&gt;253,6,IF(AC156&gt;126,5,IF(AC156&gt;63,4,IF(AC156&gt;32,3,IF(AC156&gt;16,2,IF(AC156&gt;8,1,IF(AC156&lt;8,0)))))))))))))))),"")</f>
        <v/>
      </c>
      <c r="AD168" s="43" t="str">
        <f aca="false">IF(AD156&lt;&gt;"",IF(AD156&gt;129600,15,IF(AD156&gt;64800,14,IF(AD156&gt;32400,13,IF(AD156&gt;16200,12,IF(AD156&gt;8100,11,IF(AD156&gt;4050,10,IF(AD156&gt;2025,9,IF(AD156&gt;1012,8,IF(AD156&gt;506,7,IF(AD156&gt;253,6,IF(AD156&gt;126,5,IF(AD156&gt;63,4,IF(AD156&gt;32,3,IF(AD156&gt;16,2,IF(AD156&gt;8,1,IF(AD156&lt;8,0)))))))))))))))),"")</f>
        <v/>
      </c>
      <c r="AE168" s="43" t="str">
        <f aca="false">IF(AE156&lt;&gt;"",IF(AE156&gt;129600,15,IF(AE156&gt;64800,14,IF(AE156&gt;32400,13,IF(AE156&gt;16200,12,IF(AE156&gt;8100,11,IF(AE156&gt;4050,10,IF(AE156&gt;2025,9,IF(AE156&gt;1012,8,IF(AE156&gt;506,7,IF(AE156&gt;253,6,IF(AE156&gt;126,5,IF(AE156&gt;63,4,IF(AE156&gt;32,3,IF(AE156&gt;16,2,IF(AE156&gt;8,1,IF(AE156&lt;8,0)))))))))))))))),"")</f>
        <v/>
      </c>
      <c r="AF168" s="43" t="str">
        <f aca="false">IF(AF156&lt;&gt;"",IF(AF156&gt;129600,15,IF(AF156&gt;64800,14,IF(AF156&gt;32400,13,IF(AF156&gt;16200,12,IF(AF156&gt;8100,11,IF(AF156&gt;4050,10,IF(AF156&gt;2025,9,IF(AF156&gt;1012,8,IF(AF156&gt;506,7,IF(AF156&gt;253,6,IF(AF156&gt;126,5,IF(AF156&gt;63,4,IF(AF156&gt;32,3,IF(AF156&gt;16,2,IF(AF156&gt;8,1,IF(AF156&lt;8,0)))))))))))))))),"")</f>
        <v/>
      </c>
      <c r="AG168" s="43" t="str">
        <f aca="false">IF(AG156&lt;&gt;"",IF(AG156&gt;129600,15,IF(AG156&gt;64800,14,IF(AG156&gt;32400,13,IF(AG156&gt;16200,12,IF(AG156&gt;8100,11,IF(AG156&gt;4050,10,IF(AG156&gt;2025,9,IF(AG156&gt;1012,8,IF(AG156&gt;506,7,IF(AG156&gt;253,6,IF(AG156&gt;126,5,IF(AG156&gt;63,4,IF(AG156&gt;32,3,IF(AG156&gt;16,2,IF(AG156&gt;8,1,IF(AG156&lt;8,0)))))))))))))))),"")</f>
        <v/>
      </c>
      <c r="AH168" s="43" t="str">
        <f aca="false">IF(AH156&lt;&gt;"",IF(AH156&gt;129600,15,IF(AH156&gt;64800,14,IF(AH156&gt;32400,13,IF(AH156&gt;16200,12,IF(AH156&gt;8100,11,IF(AH156&gt;4050,10,IF(AH156&gt;2025,9,IF(AH156&gt;1012,8,IF(AH156&gt;506,7,IF(AH156&gt;253,6,IF(AH156&gt;126,5,IF(AH156&gt;63,4,IF(AH156&gt;32,3,IF(AH156&gt;16,2,IF(AH156&gt;8,1,IF(AH156&lt;8,0)))))))))))))))),"")</f>
        <v/>
      </c>
      <c r="AI168" s="43" t="str">
        <f aca="false">IF(AI156&lt;&gt;"",IF(AI156&gt;129600,15,IF(AI156&gt;64800,14,IF(AI156&gt;32400,13,IF(AI156&gt;16200,12,IF(AI156&gt;8100,11,IF(AI156&gt;4050,10,IF(AI156&gt;2025,9,IF(AI156&gt;1012,8,IF(AI156&gt;506,7,IF(AI156&gt;253,6,IF(AI156&gt;126,5,IF(AI156&gt;63,4,IF(AI156&gt;32,3,IF(AI156&gt;16,2,IF(AI156&gt;8,1,IF(AI156&lt;8,0)))))))))))))))),"")</f>
        <v/>
      </c>
      <c r="AJ168" s="43" t="str">
        <f aca="false">IF(AJ156&lt;&gt;"",IF(AJ156&gt;129600,15,IF(AJ156&gt;64800,14,IF(AJ156&gt;32400,13,IF(AJ156&gt;16200,12,IF(AJ156&gt;8100,11,IF(AJ156&gt;4050,10,IF(AJ156&gt;2025,9,IF(AJ156&gt;1012,8,IF(AJ156&gt;506,7,IF(AJ156&gt;253,6,IF(AJ156&gt;126,5,IF(AJ156&gt;63,4,IF(AJ156&gt;32,3,IF(AJ156&gt;16,2,IF(AJ156&gt;8,1,IF(AJ156&lt;8,0)))))))))))))))),"")</f>
        <v/>
      </c>
      <c r="AK168" s="44" t="str">
        <f aca="false">IF(AK156&lt;&gt;"",IF(AK156&gt;129600,15,IF(AK156&gt;64800,14,IF(AK156&gt;32400,13,IF(AK156&gt;16200,12,IF(AK156&gt;8100,11,IF(AK156&gt;4050,10,IF(AK156&gt;2025,9,IF(AK156&gt;1012,8,IF(AK156&gt;506,7,IF(AK156&gt;253,6,IF(AK156&gt;126,5,IF(AK156&gt;63,4,IF(AK156&gt;32,3,IF(AK156&gt;16,2,IF(AK156&gt;8,1,IF(AK156&lt;8,0)))))))))))))))),"")</f>
        <v/>
      </c>
      <c r="AL168" s="33"/>
      <c r="AM168" s="34"/>
      <c r="AN168" s="34"/>
      <c r="AO168" s="34"/>
      <c r="AP168" s="34"/>
      <c r="AQ168" s="34"/>
      <c r="AR168" s="40"/>
    </row>
    <row r="169" s="37" customFormat="true" ht="13.8" hidden="false" customHeight="false" outlineLevel="0" collapsed="false">
      <c r="A169" s="31"/>
      <c r="B169" s="36"/>
      <c r="C169" s="37" t="s">
        <v>114</v>
      </c>
      <c r="D169" s="37" t="s">
        <v>308</v>
      </c>
      <c r="E169" s="43" t="str">
        <f aca="false">IF(E157&lt;&gt;"",IF(E157&gt;23040,15,IF(E157&gt;11520,14,IF(E157&gt;5760,13,IF(E157&gt;2880,12,IF(E157&gt;1440,11,IF(E157&gt;720,10,IF(E157&gt;360,9,IF(E157&gt;180,8,IF(E157&gt;90,7,IF(E157&gt;45,6,IF(E157&gt;22,5,IF(E157&gt;11,4,IF(E157&gt;6,3,IF(E157&gt;3,2,IF(E157&gt;2,1,IF(E157&lt;2,0)))))))))))))))),"")</f>
        <v/>
      </c>
      <c r="F169" s="43" t="str">
        <f aca="false">IF(F157&lt;&gt;"",IF(F157&gt;23040,15,IF(F157&gt;11520,14,IF(F157&gt;5760,13,IF(F157&gt;2880,12,IF(F157&gt;1440,11,IF(F157&gt;720,10,IF(F157&gt;360,9,IF(F157&gt;180,8,IF(F157&gt;90,7,IF(F157&gt;45,6,IF(F157&gt;22,5,IF(F157&gt;11,4,IF(F157&gt;6,3,IF(F157&gt;3,2,IF(F157&gt;2,1,IF(F157&lt;2,0)))))))))))))))),"")</f>
        <v/>
      </c>
      <c r="G169" s="43" t="str">
        <f aca="false">IF(G157&lt;&gt;"",IF(G157&gt;23040,15,IF(G157&gt;11520,14,IF(G157&gt;5760,13,IF(G157&gt;2880,12,IF(G157&gt;1440,11,IF(G157&gt;720,10,IF(G157&gt;360,9,IF(G157&gt;180,8,IF(G157&gt;90,7,IF(G157&gt;45,6,IF(G157&gt;22,5,IF(G157&gt;11,4,IF(G157&gt;6,3,IF(G157&gt;3,2,IF(G157&gt;2,1,IF(G157&lt;2,0)))))))))))))))),"")</f>
        <v/>
      </c>
      <c r="H169" s="43" t="str">
        <f aca="false">IF(H157&lt;&gt;"",IF(H157&gt;23040,15,IF(H157&gt;11520,14,IF(H157&gt;5760,13,IF(H157&gt;2880,12,IF(H157&gt;1440,11,IF(H157&gt;720,10,IF(H157&gt;360,9,IF(H157&gt;180,8,IF(H157&gt;90,7,IF(H157&gt;45,6,IF(H157&gt;22,5,IF(H157&gt;11,4,IF(H157&gt;6,3,IF(H157&gt;3,2,IF(H157&gt;2,1,IF(H157&lt;2,0)))))))))))))))),"")</f>
        <v/>
      </c>
      <c r="I169" s="43" t="str">
        <f aca="false">IF(I157&lt;&gt;"",IF(I157&gt;23040,15,IF(I157&gt;11520,14,IF(I157&gt;5760,13,IF(I157&gt;2880,12,IF(I157&gt;1440,11,IF(I157&gt;720,10,IF(I157&gt;360,9,IF(I157&gt;180,8,IF(I157&gt;90,7,IF(I157&gt;45,6,IF(I157&gt;22,5,IF(I157&gt;11,4,IF(I157&gt;6,3,IF(I157&gt;3,2,IF(I157&gt;2,1,IF(I157&lt;2,0)))))))))))))))),"")</f>
        <v/>
      </c>
      <c r="J169" s="43" t="str">
        <f aca="false">IF(J157&lt;&gt;"",IF(J157&gt;23040,15,IF(J157&gt;11520,14,IF(J157&gt;5760,13,IF(J157&gt;2880,12,IF(J157&gt;1440,11,IF(J157&gt;720,10,IF(J157&gt;360,9,IF(J157&gt;180,8,IF(J157&gt;90,7,IF(J157&gt;45,6,IF(J157&gt;22,5,IF(J157&gt;11,4,IF(J157&gt;6,3,IF(J157&gt;3,2,IF(J157&gt;2,1,IF(J157&lt;2,0)))))))))))))))),"")</f>
        <v/>
      </c>
      <c r="K169" s="43" t="str">
        <f aca="false">IF(K157&lt;&gt;"",IF(K157&gt;23040,15,IF(K157&gt;11520,14,IF(K157&gt;5760,13,IF(K157&gt;2880,12,IF(K157&gt;1440,11,IF(K157&gt;720,10,IF(K157&gt;360,9,IF(K157&gt;180,8,IF(K157&gt;90,7,IF(K157&gt;45,6,IF(K157&gt;22,5,IF(K157&gt;11,4,IF(K157&gt;6,3,IF(K157&gt;3,2,IF(K157&gt;2,1,IF(K157&lt;2,0)))))))))))))))),"")</f>
        <v/>
      </c>
      <c r="L169" s="43" t="str">
        <f aca="false">IF(L157&lt;&gt;"",IF(L157&gt;23040,15,IF(L157&gt;11520,14,IF(L157&gt;5760,13,IF(L157&gt;2880,12,IF(L157&gt;1440,11,IF(L157&gt;720,10,IF(L157&gt;360,9,IF(L157&gt;180,8,IF(L157&gt;90,7,IF(L157&gt;45,6,IF(L157&gt;22,5,IF(L157&gt;11,4,IF(L157&gt;6,3,IF(L157&gt;3,2,IF(L157&gt;2,1,IF(L157&lt;2,0)))))))))))))))),"")</f>
        <v/>
      </c>
      <c r="M169" s="43" t="str">
        <f aca="false">IF(M157&lt;&gt;"",IF(M157&gt;23040,15,IF(M157&gt;11520,14,IF(M157&gt;5760,13,IF(M157&gt;2880,12,IF(M157&gt;1440,11,IF(M157&gt;720,10,IF(M157&gt;360,9,IF(M157&gt;180,8,IF(M157&gt;90,7,IF(M157&gt;45,6,IF(M157&gt;22,5,IF(M157&gt;11,4,IF(M157&gt;6,3,IF(M157&gt;3,2,IF(M157&gt;2,1,IF(M157&lt;2,0)))))))))))))))),"")</f>
        <v/>
      </c>
      <c r="N169" s="43" t="str">
        <f aca="false">IF(N157&lt;&gt;"",IF(N157&gt;23040,15,IF(N157&gt;11520,14,IF(N157&gt;5760,13,IF(N157&gt;2880,12,IF(N157&gt;1440,11,IF(N157&gt;720,10,IF(N157&gt;360,9,IF(N157&gt;180,8,IF(N157&gt;90,7,IF(N157&gt;45,6,IF(N157&gt;22,5,IF(N157&gt;11,4,IF(N157&gt;6,3,IF(N157&gt;3,2,IF(N157&gt;2,1,IF(N157&lt;2,0)))))))))))))))),"")</f>
        <v/>
      </c>
      <c r="O169" s="43" t="str">
        <f aca="false">IF(O157&lt;&gt;"",IF(O157&gt;23040,15,IF(O157&gt;11520,14,IF(O157&gt;5760,13,IF(O157&gt;2880,12,IF(O157&gt;1440,11,IF(O157&gt;720,10,IF(O157&gt;360,9,IF(O157&gt;180,8,IF(O157&gt;90,7,IF(O157&gt;45,6,IF(O157&gt;22,5,IF(O157&gt;11,4,IF(O157&gt;6,3,IF(O157&gt;3,2,IF(O157&gt;2,1,IF(O157&lt;2,0)))))))))))))))),"")</f>
        <v/>
      </c>
      <c r="P169" s="43" t="str">
        <f aca="false">IF(P157&lt;&gt;"",IF(P157&gt;23040,15,IF(P157&gt;11520,14,IF(P157&gt;5760,13,IF(P157&gt;2880,12,IF(P157&gt;1440,11,IF(P157&gt;720,10,IF(P157&gt;360,9,IF(P157&gt;180,8,IF(P157&gt;90,7,IF(P157&gt;45,6,IF(P157&gt;22,5,IF(P157&gt;11,4,IF(P157&gt;6,3,IF(P157&gt;3,2,IF(P157&gt;2,1,IF(P157&lt;2,0)))))))))))))))),"")</f>
        <v/>
      </c>
      <c r="Q169" s="43" t="str">
        <f aca="false">IF(Q157&lt;&gt;"",IF(Q157&gt;23040,15,IF(Q157&gt;11520,14,IF(Q157&gt;5760,13,IF(Q157&gt;2880,12,IF(Q157&gt;1440,11,IF(Q157&gt;720,10,IF(Q157&gt;360,9,IF(Q157&gt;180,8,IF(Q157&gt;90,7,IF(Q157&gt;45,6,IF(Q157&gt;22,5,IF(Q157&gt;11,4,IF(Q157&gt;6,3,IF(Q157&gt;3,2,IF(Q157&gt;2,1,IF(Q157&lt;2,0)))))))))))))))),"")</f>
        <v/>
      </c>
      <c r="R169" s="43" t="str">
        <f aca="false">IF(R157&lt;&gt;"",IF(R157&gt;23040,15,IF(R157&gt;11520,14,IF(R157&gt;5760,13,IF(R157&gt;2880,12,IF(R157&gt;1440,11,IF(R157&gt;720,10,IF(R157&gt;360,9,IF(R157&gt;180,8,IF(R157&gt;90,7,IF(R157&gt;45,6,IF(R157&gt;22,5,IF(R157&gt;11,4,IF(R157&gt;6,3,IF(R157&gt;3,2,IF(R157&gt;2,1,IF(R157&lt;2,0)))))))))))))))),"")</f>
        <v/>
      </c>
      <c r="S169" s="43" t="str">
        <f aca="false">IF(S157&lt;&gt;"",IF(S157&gt;23040,15,IF(S157&gt;11520,14,IF(S157&gt;5760,13,IF(S157&gt;2880,12,IF(S157&gt;1440,11,IF(S157&gt;720,10,IF(S157&gt;360,9,IF(S157&gt;180,8,IF(S157&gt;90,7,IF(S157&gt;45,6,IF(S157&gt;22,5,IF(S157&gt;11,4,IF(S157&gt;6,3,IF(S157&gt;3,2,IF(S157&gt;2,1,IF(S157&lt;2,0)))))))))))))))),"")</f>
        <v/>
      </c>
      <c r="T169" s="43" t="str">
        <f aca="false">IF(T157&lt;&gt;"",IF(T157&gt;23040,15,IF(T157&gt;11520,14,IF(T157&gt;5760,13,IF(T157&gt;2880,12,IF(T157&gt;1440,11,IF(T157&gt;720,10,IF(T157&gt;360,9,IF(T157&gt;180,8,IF(T157&gt;90,7,IF(T157&gt;45,6,IF(T157&gt;22,5,IF(T157&gt;11,4,IF(T157&gt;6,3,IF(T157&gt;3,2,IF(T157&gt;2,1,IF(T157&lt;2,0)))))))))))))))),"")</f>
        <v/>
      </c>
      <c r="U169" s="43" t="str">
        <f aca="false">IF(U157&lt;&gt;"",IF(U157&gt;23040,15,IF(U157&gt;11520,14,IF(U157&gt;5760,13,IF(U157&gt;2880,12,IF(U157&gt;1440,11,IF(U157&gt;720,10,IF(U157&gt;360,9,IF(U157&gt;180,8,IF(U157&gt;90,7,IF(U157&gt;45,6,IF(U157&gt;22,5,IF(U157&gt;11,4,IF(U157&gt;6,3,IF(U157&gt;3,2,IF(U157&gt;2,1,IF(U157&lt;2,0)))))))))))))))),"")</f>
        <v/>
      </c>
      <c r="V169" s="43" t="str">
        <f aca="false">IF(V157&lt;&gt;"",IF(V157&gt;23040,15,IF(V157&gt;11520,14,IF(V157&gt;5760,13,IF(V157&gt;2880,12,IF(V157&gt;1440,11,IF(V157&gt;720,10,IF(V157&gt;360,9,IF(V157&gt;180,8,IF(V157&gt;90,7,IF(V157&gt;45,6,IF(V157&gt;22,5,IF(V157&gt;11,4,IF(V157&gt;6,3,IF(V157&gt;3,2,IF(V157&gt;2,1,IF(V157&lt;2,0)))))))))))))))),"")</f>
        <v/>
      </c>
      <c r="W169" s="43" t="str">
        <f aca="false">IF(W157&lt;&gt;"",IF(W157&gt;23040,15,IF(W157&gt;11520,14,IF(W157&gt;5760,13,IF(W157&gt;2880,12,IF(W157&gt;1440,11,IF(W157&gt;720,10,IF(W157&gt;360,9,IF(W157&gt;180,8,IF(W157&gt;90,7,IF(W157&gt;45,6,IF(W157&gt;22,5,IF(W157&gt;11,4,IF(W157&gt;6,3,IF(W157&gt;3,2,IF(W157&gt;2,1,IF(W157&lt;2,0)))))))))))))))),"")</f>
        <v/>
      </c>
      <c r="X169" s="43" t="str">
        <f aca="false">IF(X157&lt;&gt;"",IF(X157&gt;23040,15,IF(X157&gt;11520,14,IF(X157&gt;5760,13,IF(X157&gt;2880,12,IF(X157&gt;1440,11,IF(X157&gt;720,10,IF(X157&gt;360,9,IF(X157&gt;180,8,IF(X157&gt;90,7,IF(X157&gt;45,6,IF(X157&gt;22,5,IF(X157&gt;11,4,IF(X157&gt;6,3,IF(X157&gt;3,2,IF(X157&gt;2,1,IF(X157&lt;2,0)))))))))))))))),"")</f>
        <v/>
      </c>
      <c r="Y169" s="43" t="str">
        <f aca="false">IF(Y157&lt;&gt;"",IF(Y157&gt;23040,15,IF(Y157&gt;11520,14,IF(Y157&gt;5760,13,IF(Y157&gt;2880,12,IF(Y157&gt;1440,11,IF(Y157&gt;720,10,IF(Y157&gt;360,9,IF(Y157&gt;180,8,IF(Y157&gt;90,7,IF(Y157&gt;45,6,IF(Y157&gt;22,5,IF(Y157&gt;11,4,IF(Y157&gt;6,3,IF(Y157&gt;3,2,IF(Y157&gt;2,1,IF(Y157&lt;2,0)))))))))))))))),"")</f>
        <v/>
      </c>
      <c r="Z169" s="43" t="str">
        <f aca="false">IF(Z157&lt;&gt;"",IF(Z157&gt;23040,15,IF(Z157&gt;11520,14,IF(Z157&gt;5760,13,IF(Z157&gt;2880,12,IF(Z157&gt;1440,11,IF(Z157&gt;720,10,IF(Z157&gt;360,9,IF(Z157&gt;180,8,IF(Z157&gt;90,7,IF(Z157&gt;45,6,IF(Z157&gt;22,5,IF(Z157&gt;11,4,IF(Z157&gt;6,3,IF(Z157&gt;3,2,IF(Z157&gt;2,1,IF(Z157&lt;2,0)))))))))))))))),"")</f>
        <v/>
      </c>
      <c r="AA169" s="43" t="str">
        <f aca="false">IF(AA157&lt;&gt;"",IF(AA157&gt;23040,15,IF(AA157&gt;11520,14,IF(AA157&gt;5760,13,IF(AA157&gt;2880,12,IF(AA157&gt;1440,11,IF(AA157&gt;720,10,IF(AA157&gt;360,9,IF(AA157&gt;180,8,IF(AA157&gt;90,7,IF(AA157&gt;45,6,IF(AA157&gt;22,5,IF(AA157&gt;11,4,IF(AA157&gt;6,3,IF(AA157&gt;3,2,IF(AA157&gt;2,1,IF(AA157&lt;2,0)))))))))))))))),"")</f>
        <v/>
      </c>
      <c r="AB169" s="43" t="str">
        <f aca="false">IF(AB157&lt;&gt;"",IF(AB157&gt;23040,15,IF(AB157&gt;11520,14,IF(AB157&gt;5760,13,IF(AB157&gt;2880,12,IF(AB157&gt;1440,11,IF(AB157&gt;720,10,IF(AB157&gt;360,9,IF(AB157&gt;180,8,IF(AB157&gt;90,7,IF(AB157&gt;45,6,IF(AB157&gt;22,5,IF(AB157&gt;11,4,IF(AB157&gt;6,3,IF(AB157&gt;3,2,IF(AB157&gt;2,1,IF(AB157&lt;2,0)))))))))))))))),"")</f>
        <v/>
      </c>
      <c r="AC169" s="43" t="str">
        <f aca="false">IF(AC157&lt;&gt;"",IF(AC157&gt;23040,15,IF(AC157&gt;11520,14,IF(AC157&gt;5760,13,IF(AC157&gt;2880,12,IF(AC157&gt;1440,11,IF(AC157&gt;720,10,IF(AC157&gt;360,9,IF(AC157&gt;180,8,IF(AC157&gt;90,7,IF(AC157&gt;45,6,IF(AC157&gt;22,5,IF(AC157&gt;11,4,IF(AC157&gt;6,3,IF(AC157&gt;3,2,IF(AC157&gt;2,1,IF(AC157&lt;2,0)))))))))))))))),"")</f>
        <v/>
      </c>
      <c r="AD169" s="43" t="str">
        <f aca="false">IF(AD157&lt;&gt;"",IF(AD157&gt;23040,15,IF(AD157&gt;11520,14,IF(AD157&gt;5760,13,IF(AD157&gt;2880,12,IF(AD157&gt;1440,11,IF(AD157&gt;720,10,IF(AD157&gt;360,9,IF(AD157&gt;180,8,IF(AD157&gt;90,7,IF(AD157&gt;45,6,IF(AD157&gt;22,5,IF(AD157&gt;11,4,IF(AD157&gt;6,3,IF(AD157&gt;3,2,IF(AD157&gt;2,1,IF(AD157&lt;2,0)))))))))))))))),"")</f>
        <v/>
      </c>
      <c r="AE169" s="43" t="str">
        <f aca="false">IF(AE157&lt;&gt;"",IF(AE157&gt;23040,15,IF(AE157&gt;11520,14,IF(AE157&gt;5760,13,IF(AE157&gt;2880,12,IF(AE157&gt;1440,11,IF(AE157&gt;720,10,IF(AE157&gt;360,9,IF(AE157&gt;180,8,IF(AE157&gt;90,7,IF(AE157&gt;45,6,IF(AE157&gt;22,5,IF(AE157&gt;11,4,IF(AE157&gt;6,3,IF(AE157&gt;3,2,IF(AE157&gt;2,1,IF(AE157&lt;2,0)))))))))))))))),"")</f>
        <v/>
      </c>
      <c r="AF169" s="43" t="str">
        <f aca="false">IF(AF157&lt;&gt;"",IF(AF157&gt;23040,15,IF(AF157&gt;11520,14,IF(AF157&gt;5760,13,IF(AF157&gt;2880,12,IF(AF157&gt;1440,11,IF(AF157&gt;720,10,IF(AF157&gt;360,9,IF(AF157&gt;180,8,IF(AF157&gt;90,7,IF(AF157&gt;45,6,IF(AF157&gt;22,5,IF(AF157&gt;11,4,IF(AF157&gt;6,3,IF(AF157&gt;3,2,IF(AF157&gt;2,1,IF(AF157&lt;2,0)))))))))))))))),"")</f>
        <v/>
      </c>
      <c r="AG169" s="43" t="str">
        <f aca="false">IF(AG157&lt;&gt;"",IF(AG157&gt;23040,15,IF(AG157&gt;11520,14,IF(AG157&gt;5760,13,IF(AG157&gt;2880,12,IF(AG157&gt;1440,11,IF(AG157&gt;720,10,IF(AG157&gt;360,9,IF(AG157&gt;180,8,IF(AG157&gt;90,7,IF(AG157&gt;45,6,IF(AG157&gt;22,5,IF(AG157&gt;11,4,IF(AG157&gt;6,3,IF(AG157&gt;3,2,IF(AG157&gt;2,1,IF(AG157&lt;2,0)))))))))))))))),"")</f>
        <v/>
      </c>
      <c r="AH169" s="43" t="str">
        <f aca="false">IF(AH157&lt;&gt;"",IF(AH157&gt;23040,15,IF(AH157&gt;11520,14,IF(AH157&gt;5760,13,IF(AH157&gt;2880,12,IF(AH157&gt;1440,11,IF(AH157&gt;720,10,IF(AH157&gt;360,9,IF(AH157&gt;180,8,IF(AH157&gt;90,7,IF(AH157&gt;45,6,IF(AH157&gt;22,5,IF(AH157&gt;11,4,IF(AH157&gt;6,3,IF(AH157&gt;3,2,IF(AH157&gt;2,1,IF(AH157&lt;2,0)))))))))))))))),"")</f>
        <v/>
      </c>
      <c r="AI169" s="43" t="str">
        <f aca="false">IF(AI157&lt;&gt;"",IF(AI157&gt;23040,15,IF(AI157&gt;11520,14,IF(AI157&gt;5760,13,IF(AI157&gt;2880,12,IF(AI157&gt;1440,11,IF(AI157&gt;720,10,IF(AI157&gt;360,9,IF(AI157&gt;180,8,IF(AI157&gt;90,7,IF(AI157&gt;45,6,IF(AI157&gt;22,5,IF(AI157&gt;11,4,IF(AI157&gt;6,3,IF(AI157&gt;3,2,IF(AI157&gt;2,1,IF(AI157&lt;2,0)))))))))))))))),"")</f>
        <v/>
      </c>
      <c r="AJ169" s="43" t="str">
        <f aca="false">IF(AJ157&lt;&gt;"",IF(AJ157&gt;23040,15,IF(AJ157&gt;11520,14,IF(AJ157&gt;5760,13,IF(AJ157&gt;2880,12,IF(AJ157&gt;1440,11,IF(AJ157&gt;720,10,IF(AJ157&gt;360,9,IF(AJ157&gt;180,8,IF(AJ157&gt;90,7,IF(AJ157&gt;45,6,IF(AJ157&gt;22,5,IF(AJ157&gt;11,4,IF(AJ157&gt;6,3,IF(AJ157&gt;3,2,IF(AJ157&gt;2,1,IF(AJ157&lt;2,0)))))))))))))))),"")</f>
        <v/>
      </c>
      <c r="AK169" s="44" t="str">
        <f aca="false">IF(AK157&lt;&gt;"",IF(AK157&gt;23040,15,IF(AK157&gt;11520,14,IF(AK157&gt;5760,13,IF(AK157&gt;2880,12,IF(AK157&gt;1440,11,IF(AK157&gt;720,10,IF(AK157&gt;360,9,IF(AK157&gt;180,8,IF(AK157&gt;90,7,IF(AK157&gt;45,6,IF(AK157&gt;22,5,IF(AK157&gt;11,4,IF(AK157&gt;6,3,IF(AK157&gt;3,2,IF(AK157&gt;2,1,IF(AK157&lt;2,0)))))))))))))))),"")</f>
        <v/>
      </c>
      <c r="AL169" s="33"/>
      <c r="AM169" s="34"/>
      <c r="AN169" s="34"/>
      <c r="AO169" s="34"/>
      <c r="AP169" s="34"/>
      <c r="AQ169" s="34"/>
      <c r="AR169" s="40"/>
    </row>
    <row r="170" s="37" customFormat="true" ht="13.8" hidden="false" customHeight="false" outlineLevel="0" collapsed="false">
      <c r="A170" s="31"/>
      <c r="B170" s="36"/>
      <c r="C170" s="37" t="s">
        <v>116</v>
      </c>
      <c r="D170" s="37" t="s">
        <v>309</v>
      </c>
      <c r="E170" s="43" t="str">
        <f aca="false">IF(E158&lt;&gt;"",IF(E158&gt;4096,15,IF(E158&gt;2048,14,IF(E158&gt;1024,13,IF(E158&gt;512,12,IF(E158&gt;256,11,IF(E158&gt;128,10,IF(E158&gt;64,9,IF(E158&gt;32,8,IF(E158&gt;16,7,IF(E158&gt;8,6,IF(E158&gt;4,5,IF(E158&gt;2,4,IF(E158&gt;1,3,IF(E158=1,1,IF(E158=0,0))))))))))))))),"")</f>
        <v/>
      </c>
      <c r="F170" s="43" t="str">
        <f aca="false">IF(F158&lt;&gt;"",IF(F158&gt;4096,15,IF(F158&gt;2048,14,IF(F158&gt;1024,13,IF(F158&gt;512,12,IF(F158&gt;256,11,IF(F158&gt;128,10,IF(F158&gt;64,9,IF(F158&gt;32,8,IF(F158&gt;16,7,IF(F158&gt;8,6,IF(F158&gt;4,5,IF(F158&gt;2,4,IF(F158&gt;1,3,IF(F158=1,1,IF(F158=0,0))))))))))))))),"")</f>
        <v/>
      </c>
      <c r="G170" s="43" t="str">
        <f aca="false">IF(G158&lt;&gt;"",IF(G158&gt;4096,15,IF(G158&gt;2048,14,IF(G158&gt;1024,13,IF(G158&gt;512,12,IF(G158&gt;256,11,IF(G158&gt;128,10,IF(G158&gt;64,9,IF(G158&gt;32,8,IF(G158&gt;16,7,IF(G158&gt;8,6,IF(G158&gt;4,5,IF(G158&gt;2,4,IF(G158&gt;1,3,IF(G158=1,1,IF(G158=0,0))))))))))))))),"")</f>
        <v/>
      </c>
      <c r="H170" s="43" t="str">
        <f aca="false">IF(H158&lt;&gt;"",IF(H158&gt;4096,15,IF(H158&gt;2048,14,IF(H158&gt;1024,13,IF(H158&gt;512,12,IF(H158&gt;256,11,IF(H158&gt;128,10,IF(H158&gt;64,9,IF(H158&gt;32,8,IF(H158&gt;16,7,IF(H158&gt;8,6,IF(H158&gt;4,5,IF(H158&gt;2,4,IF(H158&gt;1,3,IF(H158=1,1,IF(H158=0,0))))))))))))))),"")</f>
        <v/>
      </c>
      <c r="I170" s="43" t="str">
        <f aca="false">IF(I158&lt;&gt;"",IF(I158&gt;4096,15,IF(I158&gt;2048,14,IF(I158&gt;1024,13,IF(I158&gt;512,12,IF(I158&gt;256,11,IF(I158&gt;128,10,IF(I158&gt;64,9,IF(I158&gt;32,8,IF(I158&gt;16,7,IF(I158&gt;8,6,IF(I158&gt;4,5,IF(I158&gt;2,4,IF(I158&gt;1,3,IF(I158=1,1,IF(I158=0,0))))))))))))))),"")</f>
        <v/>
      </c>
      <c r="J170" s="43" t="str">
        <f aca="false">IF(J158&lt;&gt;"",IF(J158&gt;4096,15,IF(J158&gt;2048,14,IF(J158&gt;1024,13,IF(J158&gt;512,12,IF(J158&gt;256,11,IF(J158&gt;128,10,IF(J158&gt;64,9,IF(J158&gt;32,8,IF(J158&gt;16,7,IF(J158&gt;8,6,IF(J158&gt;4,5,IF(J158&gt;2,4,IF(J158&gt;1,3,IF(J158=1,1,IF(J158=0,0))))))))))))))),"")</f>
        <v/>
      </c>
      <c r="K170" s="43" t="str">
        <f aca="false">IF(K158&lt;&gt;"",IF(K158&gt;4096,15,IF(K158&gt;2048,14,IF(K158&gt;1024,13,IF(K158&gt;512,12,IF(K158&gt;256,11,IF(K158&gt;128,10,IF(K158&gt;64,9,IF(K158&gt;32,8,IF(K158&gt;16,7,IF(K158&gt;8,6,IF(K158&gt;4,5,IF(K158&gt;2,4,IF(K158&gt;1,3,IF(K158=1,1,IF(K158=0,0))))))))))))))),"")</f>
        <v/>
      </c>
      <c r="L170" s="43" t="str">
        <f aca="false">IF(L158&lt;&gt;"",IF(L158&gt;4096,15,IF(L158&gt;2048,14,IF(L158&gt;1024,13,IF(L158&gt;512,12,IF(L158&gt;256,11,IF(L158&gt;128,10,IF(L158&gt;64,9,IF(L158&gt;32,8,IF(L158&gt;16,7,IF(L158&gt;8,6,IF(L158&gt;4,5,IF(L158&gt;2,4,IF(L158&gt;1,3,IF(L158=1,1,IF(L158=0,0))))))))))))))),"")</f>
        <v/>
      </c>
      <c r="M170" s="43" t="str">
        <f aca="false">IF(M158&lt;&gt;"",IF(M158&gt;4096,15,IF(M158&gt;2048,14,IF(M158&gt;1024,13,IF(M158&gt;512,12,IF(M158&gt;256,11,IF(M158&gt;128,10,IF(M158&gt;64,9,IF(M158&gt;32,8,IF(M158&gt;16,7,IF(M158&gt;8,6,IF(M158&gt;4,5,IF(M158&gt;2,4,IF(M158&gt;1,3,IF(M158=1,1,IF(M158=0,0))))))))))))))),"")</f>
        <v/>
      </c>
      <c r="N170" s="43" t="str">
        <f aca="false">IF(N158&lt;&gt;"",IF(N158&gt;4096,15,IF(N158&gt;2048,14,IF(N158&gt;1024,13,IF(N158&gt;512,12,IF(N158&gt;256,11,IF(N158&gt;128,10,IF(N158&gt;64,9,IF(N158&gt;32,8,IF(N158&gt;16,7,IF(N158&gt;8,6,IF(N158&gt;4,5,IF(N158&gt;2,4,IF(N158&gt;1,3,IF(N158=1,1,IF(N158=0,0))))))))))))))),"")</f>
        <v/>
      </c>
      <c r="O170" s="43" t="str">
        <f aca="false">IF(O158&lt;&gt;"",IF(O158&gt;4096,15,IF(O158&gt;2048,14,IF(O158&gt;1024,13,IF(O158&gt;512,12,IF(O158&gt;256,11,IF(O158&gt;128,10,IF(O158&gt;64,9,IF(O158&gt;32,8,IF(O158&gt;16,7,IF(O158&gt;8,6,IF(O158&gt;4,5,IF(O158&gt;2,4,IF(O158&gt;1,3,IF(O158=1,1,IF(O158=0,0))))))))))))))),"")</f>
        <v/>
      </c>
      <c r="P170" s="43" t="str">
        <f aca="false">IF(P158&lt;&gt;"",IF(P158&gt;4096,15,IF(P158&gt;2048,14,IF(P158&gt;1024,13,IF(P158&gt;512,12,IF(P158&gt;256,11,IF(P158&gt;128,10,IF(P158&gt;64,9,IF(P158&gt;32,8,IF(P158&gt;16,7,IF(P158&gt;8,6,IF(P158&gt;4,5,IF(P158&gt;2,4,IF(P158&gt;1,3,IF(P158=1,1,IF(P158=0,0))))))))))))))),"")</f>
        <v/>
      </c>
      <c r="Q170" s="43" t="str">
        <f aca="false">IF(Q158&lt;&gt;"",IF(Q158&gt;4096,15,IF(Q158&gt;2048,14,IF(Q158&gt;1024,13,IF(Q158&gt;512,12,IF(Q158&gt;256,11,IF(Q158&gt;128,10,IF(Q158&gt;64,9,IF(Q158&gt;32,8,IF(Q158&gt;16,7,IF(Q158&gt;8,6,IF(Q158&gt;4,5,IF(Q158&gt;2,4,IF(Q158&gt;1,3,IF(Q158=1,1,IF(Q158=0,0))))))))))))))),"")</f>
        <v/>
      </c>
      <c r="R170" s="43" t="str">
        <f aca="false">IF(R158&lt;&gt;"",IF(R158&gt;4096,15,IF(R158&gt;2048,14,IF(R158&gt;1024,13,IF(R158&gt;512,12,IF(R158&gt;256,11,IF(R158&gt;128,10,IF(R158&gt;64,9,IF(R158&gt;32,8,IF(R158&gt;16,7,IF(R158&gt;8,6,IF(R158&gt;4,5,IF(R158&gt;2,4,IF(R158&gt;1,3,IF(R158=1,1,IF(R158=0,0))))))))))))))),"")</f>
        <v/>
      </c>
      <c r="S170" s="43" t="str">
        <f aca="false">IF(S158&lt;&gt;"",IF(S158&gt;4096,15,IF(S158&gt;2048,14,IF(S158&gt;1024,13,IF(S158&gt;512,12,IF(S158&gt;256,11,IF(S158&gt;128,10,IF(S158&gt;64,9,IF(S158&gt;32,8,IF(S158&gt;16,7,IF(S158&gt;8,6,IF(S158&gt;4,5,IF(S158&gt;2,4,IF(S158&gt;1,3,IF(S158=1,1,IF(S158=0,0))))))))))))))),"")</f>
        <v/>
      </c>
      <c r="T170" s="43" t="str">
        <f aca="false">IF(T158&lt;&gt;"",IF(T158&gt;4096,15,IF(T158&gt;2048,14,IF(T158&gt;1024,13,IF(T158&gt;512,12,IF(T158&gt;256,11,IF(T158&gt;128,10,IF(T158&gt;64,9,IF(T158&gt;32,8,IF(T158&gt;16,7,IF(T158&gt;8,6,IF(T158&gt;4,5,IF(T158&gt;2,4,IF(T158&gt;1,3,IF(T158=1,1,IF(T158=0,0))))))))))))))),"")</f>
        <v/>
      </c>
      <c r="U170" s="43" t="str">
        <f aca="false">IF(U158&lt;&gt;"",IF(U158&gt;4096,15,IF(U158&gt;2048,14,IF(U158&gt;1024,13,IF(U158&gt;512,12,IF(U158&gt;256,11,IF(U158&gt;128,10,IF(U158&gt;64,9,IF(U158&gt;32,8,IF(U158&gt;16,7,IF(U158&gt;8,6,IF(U158&gt;4,5,IF(U158&gt;2,4,IF(U158&gt;1,3,IF(U158=1,1,IF(U158=0,0))))))))))))))),"")</f>
        <v/>
      </c>
      <c r="V170" s="43" t="str">
        <f aca="false">IF(V158&lt;&gt;"",IF(V158&gt;4096,15,IF(V158&gt;2048,14,IF(V158&gt;1024,13,IF(V158&gt;512,12,IF(V158&gt;256,11,IF(V158&gt;128,10,IF(V158&gt;64,9,IF(V158&gt;32,8,IF(V158&gt;16,7,IF(V158&gt;8,6,IF(V158&gt;4,5,IF(V158&gt;2,4,IF(V158&gt;1,3,IF(V158=1,1,IF(V158=0,0))))))))))))))),"")</f>
        <v/>
      </c>
      <c r="W170" s="43" t="str">
        <f aca="false">IF(W158&lt;&gt;"",IF(W158&gt;4096,15,IF(W158&gt;2048,14,IF(W158&gt;1024,13,IF(W158&gt;512,12,IF(W158&gt;256,11,IF(W158&gt;128,10,IF(W158&gt;64,9,IF(W158&gt;32,8,IF(W158&gt;16,7,IF(W158&gt;8,6,IF(W158&gt;4,5,IF(W158&gt;2,4,IF(W158&gt;1,3,IF(W158=1,1,IF(W158=0,0))))))))))))))),"")</f>
        <v/>
      </c>
      <c r="X170" s="43" t="str">
        <f aca="false">IF(X158&lt;&gt;"",IF(X158&gt;4096,15,IF(X158&gt;2048,14,IF(X158&gt;1024,13,IF(X158&gt;512,12,IF(X158&gt;256,11,IF(X158&gt;128,10,IF(X158&gt;64,9,IF(X158&gt;32,8,IF(X158&gt;16,7,IF(X158&gt;8,6,IF(X158&gt;4,5,IF(X158&gt;2,4,IF(X158&gt;1,3,IF(X158=1,1,IF(X158=0,0))))))))))))))),"")</f>
        <v/>
      </c>
      <c r="Y170" s="43" t="str">
        <f aca="false">IF(Y158&lt;&gt;"",IF(Y158&gt;4096,15,IF(Y158&gt;2048,14,IF(Y158&gt;1024,13,IF(Y158&gt;512,12,IF(Y158&gt;256,11,IF(Y158&gt;128,10,IF(Y158&gt;64,9,IF(Y158&gt;32,8,IF(Y158&gt;16,7,IF(Y158&gt;8,6,IF(Y158&gt;4,5,IF(Y158&gt;2,4,IF(Y158&gt;1,3,IF(Y158=1,1,IF(Y158=0,0))))))))))))))),"")</f>
        <v/>
      </c>
      <c r="Z170" s="43" t="str">
        <f aca="false">IF(Z158&lt;&gt;"",IF(Z158&gt;4096,15,IF(Z158&gt;2048,14,IF(Z158&gt;1024,13,IF(Z158&gt;512,12,IF(Z158&gt;256,11,IF(Z158&gt;128,10,IF(Z158&gt;64,9,IF(Z158&gt;32,8,IF(Z158&gt;16,7,IF(Z158&gt;8,6,IF(Z158&gt;4,5,IF(Z158&gt;2,4,IF(Z158&gt;1,3,IF(Z158=1,1,IF(Z158=0,0))))))))))))))),"")</f>
        <v/>
      </c>
      <c r="AA170" s="43" t="str">
        <f aca="false">IF(AA158&lt;&gt;"",IF(AA158&gt;4096,15,IF(AA158&gt;2048,14,IF(AA158&gt;1024,13,IF(AA158&gt;512,12,IF(AA158&gt;256,11,IF(AA158&gt;128,10,IF(AA158&gt;64,9,IF(AA158&gt;32,8,IF(AA158&gt;16,7,IF(AA158&gt;8,6,IF(AA158&gt;4,5,IF(AA158&gt;2,4,IF(AA158&gt;1,3,IF(AA158=1,1,IF(AA158=0,0))))))))))))))),"")</f>
        <v/>
      </c>
      <c r="AB170" s="43" t="str">
        <f aca="false">IF(AB158&lt;&gt;"",IF(AB158&gt;4096,15,IF(AB158&gt;2048,14,IF(AB158&gt;1024,13,IF(AB158&gt;512,12,IF(AB158&gt;256,11,IF(AB158&gt;128,10,IF(AB158&gt;64,9,IF(AB158&gt;32,8,IF(AB158&gt;16,7,IF(AB158&gt;8,6,IF(AB158&gt;4,5,IF(AB158&gt;2,4,IF(AB158&gt;1,3,IF(AB158=1,1,IF(AB158=0,0))))))))))))))),"")</f>
        <v/>
      </c>
      <c r="AC170" s="43" t="str">
        <f aca="false">IF(AC158&lt;&gt;"",IF(AC158&gt;4096,15,IF(AC158&gt;2048,14,IF(AC158&gt;1024,13,IF(AC158&gt;512,12,IF(AC158&gt;256,11,IF(AC158&gt;128,10,IF(AC158&gt;64,9,IF(AC158&gt;32,8,IF(AC158&gt;16,7,IF(AC158&gt;8,6,IF(AC158&gt;4,5,IF(AC158&gt;2,4,IF(AC158&gt;1,3,IF(AC158=1,1,IF(AC158=0,0))))))))))))))),"")</f>
        <v/>
      </c>
      <c r="AD170" s="43" t="str">
        <f aca="false">IF(AD158&lt;&gt;"",IF(AD158&gt;4096,15,IF(AD158&gt;2048,14,IF(AD158&gt;1024,13,IF(AD158&gt;512,12,IF(AD158&gt;256,11,IF(AD158&gt;128,10,IF(AD158&gt;64,9,IF(AD158&gt;32,8,IF(AD158&gt;16,7,IF(AD158&gt;8,6,IF(AD158&gt;4,5,IF(AD158&gt;2,4,IF(AD158&gt;1,3,IF(AD158=1,1,IF(AD158=0,0))))))))))))))),"")</f>
        <v/>
      </c>
      <c r="AE170" s="43" t="str">
        <f aca="false">IF(AE158&lt;&gt;"",IF(AE158&gt;4096,15,IF(AE158&gt;2048,14,IF(AE158&gt;1024,13,IF(AE158&gt;512,12,IF(AE158&gt;256,11,IF(AE158&gt;128,10,IF(AE158&gt;64,9,IF(AE158&gt;32,8,IF(AE158&gt;16,7,IF(AE158&gt;8,6,IF(AE158&gt;4,5,IF(AE158&gt;2,4,IF(AE158&gt;1,3,IF(AE158=1,1,IF(AE158=0,0))))))))))))))),"")</f>
        <v/>
      </c>
      <c r="AF170" s="43" t="str">
        <f aca="false">IF(AF158&lt;&gt;"",IF(AF158&gt;4096,15,IF(AF158&gt;2048,14,IF(AF158&gt;1024,13,IF(AF158&gt;512,12,IF(AF158&gt;256,11,IF(AF158&gt;128,10,IF(AF158&gt;64,9,IF(AF158&gt;32,8,IF(AF158&gt;16,7,IF(AF158&gt;8,6,IF(AF158&gt;4,5,IF(AF158&gt;2,4,IF(AF158&gt;1,3,IF(AF158=1,1,IF(AF158=0,0))))))))))))))),"")</f>
        <v/>
      </c>
      <c r="AG170" s="43" t="str">
        <f aca="false">IF(AG158&lt;&gt;"",IF(AG158&gt;4096,15,IF(AG158&gt;2048,14,IF(AG158&gt;1024,13,IF(AG158&gt;512,12,IF(AG158&gt;256,11,IF(AG158&gt;128,10,IF(AG158&gt;64,9,IF(AG158&gt;32,8,IF(AG158&gt;16,7,IF(AG158&gt;8,6,IF(AG158&gt;4,5,IF(AG158&gt;2,4,IF(AG158&gt;1,3,IF(AG158=1,1,IF(AG158=0,0))))))))))))))),"")</f>
        <v/>
      </c>
      <c r="AH170" s="43" t="str">
        <f aca="false">IF(AH158&lt;&gt;"",IF(AH158&gt;4096,15,IF(AH158&gt;2048,14,IF(AH158&gt;1024,13,IF(AH158&gt;512,12,IF(AH158&gt;256,11,IF(AH158&gt;128,10,IF(AH158&gt;64,9,IF(AH158&gt;32,8,IF(AH158&gt;16,7,IF(AH158&gt;8,6,IF(AH158&gt;4,5,IF(AH158&gt;2,4,IF(AH158&gt;1,3,IF(AH158=1,1,IF(AH158=0,0))))))))))))))),"")</f>
        <v/>
      </c>
      <c r="AI170" s="43" t="str">
        <f aca="false">IF(AI158&lt;&gt;"",IF(AI158&gt;4096,15,IF(AI158&gt;2048,14,IF(AI158&gt;1024,13,IF(AI158&gt;512,12,IF(AI158&gt;256,11,IF(AI158&gt;128,10,IF(AI158&gt;64,9,IF(AI158&gt;32,8,IF(AI158&gt;16,7,IF(AI158&gt;8,6,IF(AI158&gt;4,5,IF(AI158&gt;2,4,IF(AI158&gt;1,3,IF(AI158=1,1,IF(AI158=0,0))))))))))))))),"")</f>
        <v/>
      </c>
      <c r="AJ170" s="43" t="str">
        <f aca="false">IF(AJ158&lt;&gt;"",IF(AJ158&gt;4096,15,IF(AJ158&gt;2048,14,IF(AJ158&gt;1024,13,IF(AJ158&gt;512,12,IF(AJ158&gt;256,11,IF(AJ158&gt;128,10,IF(AJ158&gt;64,9,IF(AJ158&gt;32,8,IF(AJ158&gt;16,7,IF(AJ158&gt;8,6,IF(AJ158&gt;4,5,IF(AJ158&gt;2,4,IF(AJ158&gt;1,3,IF(AJ158=1,1,IF(AJ158=0,0))))))))))))))),"")</f>
        <v/>
      </c>
      <c r="AK170" s="44" t="str">
        <f aca="false">IF(AK158&lt;&gt;"",IF(AK158&gt;4096,15,IF(AK158&gt;2048,14,IF(AK158&gt;1024,13,IF(AK158&gt;512,12,IF(AK158&gt;256,11,IF(AK158&gt;128,10,IF(AK158&gt;64,9,IF(AK158&gt;32,8,IF(AK158&gt;16,7,IF(AK158&gt;8,6,IF(AK158&gt;4,5,IF(AK158&gt;2,4,IF(AK158&gt;1,3,IF(AK158=1,1,IF(AK158=0,0))))))))))))))),"")</f>
        <v/>
      </c>
      <c r="AL170" s="33"/>
      <c r="AM170" s="34"/>
      <c r="AN170" s="34"/>
      <c r="AO170" s="34"/>
      <c r="AP170" s="34"/>
      <c r="AQ170" s="34"/>
      <c r="AR170" s="40"/>
    </row>
    <row r="171" s="37" customFormat="true" ht="13.8" hidden="false" customHeight="false" outlineLevel="0" collapsed="false">
      <c r="A171" s="31"/>
      <c r="B171" s="36"/>
      <c r="C171" s="37" t="s">
        <v>135</v>
      </c>
      <c r="D171" s="45" t="s">
        <v>310</v>
      </c>
      <c r="E171" s="46" t="str">
        <f aca="false">IF(E159&lt;&gt;"",MAX(E165:E170),"")</f>
        <v/>
      </c>
      <c r="F171" s="46" t="str">
        <f aca="false">IF(F159&lt;&gt;"",MAX(F165:F170),"")</f>
        <v/>
      </c>
      <c r="G171" s="46" t="str">
        <f aca="false">IF(G159&lt;&gt;"",MAX(G165:G170),"")</f>
        <v/>
      </c>
      <c r="H171" s="46" t="str">
        <f aca="false">IF(H159&lt;&gt;"",MAX(H165:H170),"")</f>
        <v/>
      </c>
      <c r="I171" s="46" t="str">
        <f aca="false">IF(I159&lt;&gt;"",MAX(I165:I170),"")</f>
        <v/>
      </c>
      <c r="J171" s="46" t="str">
        <f aca="false">IF(J159&lt;&gt;"",MAX(J165:J170),"")</f>
        <v/>
      </c>
      <c r="K171" s="46" t="str">
        <f aca="false">IF(K159&lt;&gt;"",MAX(K165:K170),"")</f>
        <v/>
      </c>
      <c r="L171" s="46" t="str">
        <f aca="false">IF(L159&lt;&gt;"",MAX(L165:L170),"")</f>
        <v/>
      </c>
      <c r="M171" s="46" t="str">
        <f aca="false">IF(M159&lt;&gt;"",MAX(M165:M170),"")</f>
        <v/>
      </c>
      <c r="N171" s="46" t="str">
        <f aca="false">IF(N159&lt;&gt;"",MAX(N165:N170),"")</f>
        <v/>
      </c>
      <c r="O171" s="46" t="str">
        <f aca="false">IF(O159&lt;&gt;"",MAX(O165:O170),"")</f>
        <v/>
      </c>
      <c r="P171" s="46" t="str">
        <f aca="false">IF(P159&lt;&gt;"",MAX(P165:P170),"")</f>
        <v/>
      </c>
      <c r="Q171" s="46" t="str">
        <f aca="false">IF(Q159&lt;&gt;"",MAX(Q165:Q170),"")</f>
        <v/>
      </c>
      <c r="R171" s="46" t="str">
        <f aca="false">IF(R159&lt;&gt;"",MAX(R165:R170),"")</f>
        <v/>
      </c>
      <c r="S171" s="46" t="str">
        <f aca="false">IF(S159&lt;&gt;"",MAX(S165:S170),"")</f>
        <v/>
      </c>
      <c r="T171" s="46" t="str">
        <f aca="false">IF(T159&lt;&gt;"",MAX(T165:T170),"")</f>
        <v/>
      </c>
      <c r="U171" s="46" t="str">
        <f aca="false">IF(U159&lt;&gt;"",MAX(U165:U170),"")</f>
        <v/>
      </c>
      <c r="V171" s="46" t="str">
        <f aca="false">IF(V159&lt;&gt;"",MAX(V165:V170),"")</f>
        <v/>
      </c>
      <c r="W171" s="46" t="str">
        <f aca="false">IF(W159&lt;&gt;"",MAX(W165:W170),"")</f>
        <v/>
      </c>
      <c r="X171" s="46" t="str">
        <f aca="false">IF(X159&lt;&gt;"",MAX(X165:X170),"")</f>
        <v/>
      </c>
      <c r="Y171" s="46" t="str">
        <f aca="false">IF(Y159&lt;&gt;"",MAX(Y165:Y170),"")</f>
        <v/>
      </c>
      <c r="Z171" s="46" t="str">
        <f aca="false">IF(Z159&lt;&gt;"",MAX(Z165:Z170),"")</f>
        <v/>
      </c>
      <c r="AA171" s="46" t="str">
        <f aca="false">IF(AA159&lt;&gt;"",MAX(AA165:AA170),"")</f>
        <v/>
      </c>
      <c r="AB171" s="46" t="str">
        <f aca="false">IF(AB159&lt;&gt;"",MAX(AB165:AB170),"")</f>
        <v/>
      </c>
      <c r="AC171" s="46" t="str">
        <f aca="false">IF(AC159&lt;&gt;"",MAX(AC165:AC170),"")</f>
        <v/>
      </c>
      <c r="AD171" s="46" t="str">
        <f aca="false">IF(AD159&lt;&gt;"",MAX(AD165:AD170),"")</f>
        <v/>
      </c>
      <c r="AE171" s="46" t="str">
        <f aca="false">IF(AE159&lt;&gt;"",MAX(AE165:AE170),"")</f>
        <v/>
      </c>
      <c r="AF171" s="46" t="str">
        <f aca="false">IF(AF159&lt;&gt;"",MAX(AF165:AF170),"")</f>
        <v/>
      </c>
      <c r="AG171" s="46" t="str">
        <f aca="false">IF(AG159&lt;&gt;"",MAX(AG165:AG170),"")</f>
        <v/>
      </c>
      <c r="AH171" s="46" t="str">
        <f aca="false">IF(AH159&lt;&gt;"",MAX(AH165:AH170),"")</f>
        <v/>
      </c>
      <c r="AI171" s="46" t="str">
        <f aca="false">IF(AI159&lt;&gt;"",MAX(AI165:AI170),"")</f>
        <v/>
      </c>
      <c r="AJ171" s="46" t="str">
        <f aca="false">IF(AJ159&lt;&gt;"",MAX(AJ165:AJ170),"")</f>
        <v/>
      </c>
      <c r="AK171" s="73" t="str">
        <f aca="false">IF(AK159&lt;&gt;"",MAX(AK165:AK170),"")</f>
        <v/>
      </c>
      <c r="AL171" s="33"/>
      <c r="AM171" s="34"/>
      <c r="AN171" s="34"/>
      <c r="AO171" s="34"/>
      <c r="AP171" s="34"/>
      <c r="AQ171" s="34"/>
      <c r="AR171" s="40"/>
    </row>
    <row r="172" s="37" customFormat="true" ht="13.8" hidden="false" customHeight="false" outlineLevel="0" collapsed="false">
      <c r="A172" s="31"/>
      <c r="B172" s="36"/>
      <c r="C172" s="37" t="s">
        <v>106</v>
      </c>
      <c r="D172" s="37" t="s">
        <v>311</v>
      </c>
      <c r="E172" s="43" t="str">
        <f aca="false">IF(E159&lt;&gt;"",IF(E159&gt;130000000,28,IF(E159&gt;64000000,27,IF(E159&gt;320000000,26,IF(E159&gt;16000000,25,IF(E159&gt;8000000,24,IF(E159&gt;4000000,23,IF(E159&gt;2000000,22,IF(E159&gt;1000000,21,IF(E159&gt;500000,20,IF(E159&gt;250000,19,IF(E159&gt;130000,18,IF(E159&gt;64000,17,IF(E159&gt;32000,16,IF(E159&gt;16000,15,IF(E159&gt;8000,14,IF(E159&gt;4000,13,IF(E159&gt;2000,12,IF(E159&gt;1000,11,IF(E159&gt;500,10,IF(E159&gt;250,9,IF(E159&gt;130,8,IF(E159&gt;64,7,IF(E159&gt;32,6,IF(E159&gt;16,5,IF(E159&gt;8,4,IF(E159&gt;4,3,IF(E159&gt;2,2,IF(E159&gt;1,1,IF(E159&gt;0.5,0,IF(E159=0,0)))))))))))))))))))))))))))))),"")</f>
        <v/>
      </c>
      <c r="F172" s="43" t="str">
        <f aca="false">IF(F159&lt;&gt;"",IF(F159&gt;130000000,28,IF(F159&gt;64000000,27,IF(F159&gt;320000000,26,IF(F159&gt;16000000,25,IF(F159&gt;8000000,24,IF(F159&gt;4000000,23,IF(F159&gt;2000000,22,IF(F159&gt;1000000,21,IF(F159&gt;500000,20,IF(F159&gt;250000,19,IF(F159&gt;130000,18,IF(F159&gt;64000,17,IF(F159&gt;32000,16,IF(F159&gt;16000,15,IF(F159&gt;8000,14,IF(F159&gt;4000,13,IF(F159&gt;2000,12,IF(F159&gt;1000,11,IF(F159&gt;500,10,IF(F159&gt;250,9,IF(F159&gt;130,8,IF(F159&gt;64,7,IF(F159&gt;32,6,IF(F159&gt;16,5,IF(F159&gt;8,4,IF(F159&gt;4,3,IF(F159&gt;2,2,IF(F159&gt;1,1,IF(F159&gt;0.5,0,IF(F159=0,0)))))))))))))))))))))))))))))),"")</f>
        <v/>
      </c>
      <c r="G172" s="43" t="str">
        <f aca="false">IF(G159&lt;&gt;"",IF(G159&gt;130000000,28,IF(G159&gt;64000000,27,IF(G159&gt;320000000,26,IF(G159&gt;16000000,25,IF(G159&gt;8000000,24,IF(G159&gt;4000000,23,IF(G159&gt;2000000,22,IF(G159&gt;1000000,21,IF(G159&gt;500000,20,IF(G159&gt;250000,19,IF(G159&gt;130000,18,IF(G159&gt;64000,17,IF(G159&gt;32000,16,IF(G159&gt;16000,15,IF(G159&gt;8000,14,IF(G159&gt;4000,13,IF(G159&gt;2000,12,IF(G159&gt;1000,11,IF(G159&gt;500,10,IF(G159&gt;250,9,IF(G159&gt;130,8,IF(G159&gt;64,7,IF(G159&gt;32,6,IF(G159&gt;16,5,IF(G159&gt;8,4,IF(G159&gt;4,3,IF(G159&gt;2,2,IF(G159&gt;1,1,IF(G159&gt;0.5,0,IF(G159=0,0)))))))))))))))))))))))))))))),"")</f>
        <v/>
      </c>
      <c r="H172" s="43" t="str">
        <f aca="false">IF(H159&lt;&gt;"",IF(H159&gt;130000000,28,IF(H159&gt;64000000,27,IF(H159&gt;320000000,26,IF(H159&gt;16000000,25,IF(H159&gt;8000000,24,IF(H159&gt;4000000,23,IF(H159&gt;2000000,22,IF(H159&gt;1000000,21,IF(H159&gt;500000,20,IF(H159&gt;250000,19,IF(H159&gt;130000,18,IF(H159&gt;64000,17,IF(H159&gt;32000,16,IF(H159&gt;16000,15,IF(H159&gt;8000,14,IF(H159&gt;4000,13,IF(H159&gt;2000,12,IF(H159&gt;1000,11,IF(H159&gt;500,10,IF(H159&gt;250,9,IF(H159&gt;130,8,IF(H159&gt;64,7,IF(H159&gt;32,6,IF(H159&gt;16,5,IF(H159&gt;8,4,IF(H159&gt;4,3,IF(H159&gt;2,2,IF(H159&gt;1,1,IF(H159&gt;0.5,0,IF(H159=0,0)))))))))))))))))))))))))))))),"")</f>
        <v/>
      </c>
      <c r="I172" s="43" t="str">
        <f aca="false">IF(I159&lt;&gt;"",IF(I159&gt;130000000,28,IF(I159&gt;64000000,27,IF(I159&gt;320000000,26,IF(I159&gt;16000000,25,IF(I159&gt;8000000,24,IF(I159&gt;4000000,23,IF(I159&gt;2000000,22,IF(I159&gt;1000000,21,IF(I159&gt;500000,20,IF(I159&gt;250000,19,IF(I159&gt;130000,18,IF(I159&gt;64000,17,IF(I159&gt;32000,16,IF(I159&gt;16000,15,IF(I159&gt;8000,14,IF(I159&gt;4000,13,IF(I159&gt;2000,12,IF(I159&gt;1000,11,IF(I159&gt;500,10,IF(I159&gt;250,9,IF(I159&gt;130,8,IF(I159&gt;64,7,IF(I159&gt;32,6,IF(I159&gt;16,5,IF(I159&gt;8,4,IF(I159&gt;4,3,IF(I159&gt;2,2,IF(I159&gt;1,1,IF(I159&gt;0.5,0,IF(I159=0,0)))))))))))))))))))))))))))))),"")</f>
        <v/>
      </c>
      <c r="J172" s="43" t="str">
        <f aca="false">IF(J159&lt;&gt;"",IF(J159&gt;130000000,28,IF(J159&gt;64000000,27,IF(J159&gt;320000000,26,IF(J159&gt;16000000,25,IF(J159&gt;8000000,24,IF(J159&gt;4000000,23,IF(J159&gt;2000000,22,IF(J159&gt;1000000,21,IF(J159&gt;500000,20,IF(J159&gt;250000,19,IF(J159&gt;130000,18,IF(J159&gt;64000,17,IF(J159&gt;32000,16,IF(J159&gt;16000,15,IF(J159&gt;8000,14,IF(J159&gt;4000,13,IF(J159&gt;2000,12,IF(J159&gt;1000,11,IF(J159&gt;500,10,IF(J159&gt;250,9,IF(J159&gt;130,8,IF(J159&gt;64,7,IF(J159&gt;32,6,IF(J159&gt;16,5,IF(J159&gt;8,4,IF(J159&gt;4,3,IF(J159&gt;2,2,IF(J159&gt;1,1,IF(J159&gt;0.5,0,IF(J159=0,0)))))))))))))))))))))))))))))),"")</f>
        <v/>
      </c>
      <c r="K172" s="43" t="str">
        <f aca="false">IF(K159&lt;&gt;"",IF(K159&gt;130000000,28,IF(K159&gt;64000000,27,IF(K159&gt;320000000,26,IF(K159&gt;16000000,25,IF(K159&gt;8000000,24,IF(K159&gt;4000000,23,IF(K159&gt;2000000,22,IF(K159&gt;1000000,21,IF(K159&gt;500000,20,IF(K159&gt;250000,19,IF(K159&gt;130000,18,IF(K159&gt;64000,17,IF(K159&gt;32000,16,IF(K159&gt;16000,15,IF(K159&gt;8000,14,IF(K159&gt;4000,13,IF(K159&gt;2000,12,IF(K159&gt;1000,11,IF(K159&gt;500,10,IF(K159&gt;250,9,IF(K159&gt;130,8,IF(K159&gt;64,7,IF(K159&gt;32,6,IF(K159&gt;16,5,IF(K159&gt;8,4,IF(K159&gt;4,3,IF(K159&gt;2,2,IF(K159&gt;1,1,IF(K159&gt;0.5,0,IF(K159=0,0)))))))))))))))))))))))))))))),"")</f>
        <v/>
      </c>
      <c r="L172" s="43" t="str">
        <f aca="false">IF(L159&lt;&gt;"",IF(L159&gt;130000000,28,IF(L159&gt;64000000,27,IF(L159&gt;320000000,26,IF(L159&gt;16000000,25,IF(L159&gt;8000000,24,IF(L159&gt;4000000,23,IF(L159&gt;2000000,22,IF(L159&gt;1000000,21,IF(L159&gt;500000,20,IF(L159&gt;250000,19,IF(L159&gt;130000,18,IF(L159&gt;64000,17,IF(L159&gt;32000,16,IF(L159&gt;16000,15,IF(L159&gt;8000,14,IF(L159&gt;4000,13,IF(L159&gt;2000,12,IF(L159&gt;1000,11,IF(L159&gt;500,10,IF(L159&gt;250,9,IF(L159&gt;130,8,IF(L159&gt;64,7,IF(L159&gt;32,6,IF(L159&gt;16,5,IF(L159&gt;8,4,IF(L159&gt;4,3,IF(L159&gt;2,2,IF(L159&gt;1,1,IF(L159&gt;0.5,0,IF(L159=0,0)))))))))))))))))))))))))))))),"")</f>
        <v/>
      </c>
      <c r="M172" s="43" t="str">
        <f aca="false">IF(M159&lt;&gt;"",IF(M159&gt;130000000,28,IF(M159&gt;64000000,27,IF(M159&gt;320000000,26,IF(M159&gt;16000000,25,IF(M159&gt;8000000,24,IF(M159&gt;4000000,23,IF(M159&gt;2000000,22,IF(M159&gt;1000000,21,IF(M159&gt;500000,20,IF(M159&gt;250000,19,IF(M159&gt;130000,18,IF(M159&gt;64000,17,IF(M159&gt;32000,16,IF(M159&gt;16000,15,IF(M159&gt;8000,14,IF(M159&gt;4000,13,IF(M159&gt;2000,12,IF(M159&gt;1000,11,IF(M159&gt;500,10,IF(M159&gt;250,9,IF(M159&gt;130,8,IF(M159&gt;64,7,IF(M159&gt;32,6,IF(M159&gt;16,5,IF(M159&gt;8,4,IF(M159&gt;4,3,IF(M159&gt;2,2,IF(M159&gt;1,1,IF(M159&gt;0.5,0,IF(M159=0,0)))))))))))))))))))))))))))))),"")</f>
        <v/>
      </c>
      <c r="N172" s="43" t="str">
        <f aca="false">IF(N159&lt;&gt;"",IF(N159&gt;130000000,28,IF(N159&gt;64000000,27,IF(N159&gt;320000000,26,IF(N159&gt;16000000,25,IF(N159&gt;8000000,24,IF(N159&gt;4000000,23,IF(N159&gt;2000000,22,IF(N159&gt;1000000,21,IF(N159&gt;500000,20,IF(N159&gt;250000,19,IF(N159&gt;130000,18,IF(N159&gt;64000,17,IF(N159&gt;32000,16,IF(N159&gt;16000,15,IF(N159&gt;8000,14,IF(N159&gt;4000,13,IF(N159&gt;2000,12,IF(N159&gt;1000,11,IF(N159&gt;500,10,IF(N159&gt;250,9,IF(N159&gt;130,8,IF(N159&gt;64,7,IF(N159&gt;32,6,IF(N159&gt;16,5,IF(N159&gt;8,4,IF(N159&gt;4,3,IF(N159&gt;2,2,IF(N159&gt;1,1,IF(N159&gt;0.5,0,IF(N159=0,0)))))))))))))))))))))))))))))),"")</f>
        <v/>
      </c>
      <c r="O172" s="43" t="str">
        <f aca="false">IF(O159&lt;&gt;"",IF(O159&gt;130000000,28,IF(O159&gt;64000000,27,IF(O159&gt;320000000,26,IF(O159&gt;16000000,25,IF(O159&gt;8000000,24,IF(O159&gt;4000000,23,IF(O159&gt;2000000,22,IF(O159&gt;1000000,21,IF(O159&gt;500000,20,IF(O159&gt;250000,19,IF(O159&gt;130000,18,IF(O159&gt;64000,17,IF(O159&gt;32000,16,IF(O159&gt;16000,15,IF(O159&gt;8000,14,IF(O159&gt;4000,13,IF(O159&gt;2000,12,IF(O159&gt;1000,11,IF(O159&gt;500,10,IF(O159&gt;250,9,IF(O159&gt;130,8,IF(O159&gt;64,7,IF(O159&gt;32,6,IF(O159&gt;16,5,IF(O159&gt;8,4,IF(O159&gt;4,3,IF(O159&gt;2,2,IF(O159&gt;1,1,IF(O159&gt;0.5,0,IF(O159=0,0)))))))))))))))))))))))))))))),"")</f>
        <v/>
      </c>
      <c r="P172" s="43" t="str">
        <f aca="false">IF(P159&lt;&gt;"",IF(P159&gt;130000000,28,IF(P159&gt;64000000,27,IF(P159&gt;320000000,26,IF(P159&gt;16000000,25,IF(P159&gt;8000000,24,IF(P159&gt;4000000,23,IF(P159&gt;2000000,22,IF(P159&gt;1000000,21,IF(P159&gt;500000,20,IF(P159&gt;250000,19,IF(P159&gt;130000,18,IF(P159&gt;64000,17,IF(P159&gt;32000,16,IF(P159&gt;16000,15,IF(P159&gt;8000,14,IF(P159&gt;4000,13,IF(P159&gt;2000,12,IF(P159&gt;1000,11,IF(P159&gt;500,10,IF(P159&gt;250,9,IF(P159&gt;130,8,IF(P159&gt;64,7,IF(P159&gt;32,6,IF(P159&gt;16,5,IF(P159&gt;8,4,IF(P159&gt;4,3,IF(P159&gt;2,2,IF(P159&gt;1,1,IF(P159&gt;0.5,0,IF(P159=0,0)))))))))))))))))))))))))))))),"")</f>
        <v/>
      </c>
      <c r="Q172" s="43" t="str">
        <f aca="false">IF(Q159&lt;&gt;"",IF(Q159&gt;130000000,28,IF(Q159&gt;64000000,27,IF(Q159&gt;320000000,26,IF(Q159&gt;16000000,25,IF(Q159&gt;8000000,24,IF(Q159&gt;4000000,23,IF(Q159&gt;2000000,22,IF(Q159&gt;1000000,21,IF(Q159&gt;500000,20,IF(Q159&gt;250000,19,IF(Q159&gt;130000,18,IF(Q159&gt;64000,17,IF(Q159&gt;32000,16,IF(Q159&gt;16000,15,IF(Q159&gt;8000,14,IF(Q159&gt;4000,13,IF(Q159&gt;2000,12,IF(Q159&gt;1000,11,IF(Q159&gt;500,10,IF(Q159&gt;250,9,IF(Q159&gt;130,8,IF(Q159&gt;64,7,IF(Q159&gt;32,6,IF(Q159&gt;16,5,IF(Q159&gt;8,4,IF(Q159&gt;4,3,IF(Q159&gt;2,2,IF(Q159&gt;1,1,IF(Q159&gt;0.5,0,IF(Q159=0,0)))))))))))))))))))))))))))))),"")</f>
        <v/>
      </c>
      <c r="R172" s="43" t="str">
        <f aca="false">IF(R159&lt;&gt;"",IF(R159&gt;130000000,28,IF(R159&gt;64000000,27,IF(R159&gt;320000000,26,IF(R159&gt;16000000,25,IF(R159&gt;8000000,24,IF(R159&gt;4000000,23,IF(R159&gt;2000000,22,IF(R159&gt;1000000,21,IF(R159&gt;500000,20,IF(R159&gt;250000,19,IF(R159&gt;130000,18,IF(R159&gt;64000,17,IF(R159&gt;32000,16,IF(R159&gt;16000,15,IF(R159&gt;8000,14,IF(R159&gt;4000,13,IF(R159&gt;2000,12,IF(R159&gt;1000,11,IF(R159&gt;500,10,IF(R159&gt;250,9,IF(R159&gt;130,8,IF(R159&gt;64,7,IF(R159&gt;32,6,IF(R159&gt;16,5,IF(R159&gt;8,4,IF(R159&gt;4,3,IF(R159&gt;2,2,IF(R159&gt;1,1,IF(R159&gt;0.5,0,IF(R159=0,0)))))))))))))))))))))))))))))),"")</f>
        <v/>
      </c>
      <c r="S172" s="43" t="str">
        <f aca="false">IF(S159&lt;&gt;"",IF(S159&gt;130000000,28,IF(S159&gt;64000000,27,IF(S159&gt;320000000,26,IF(S159&gt;16000000,25,IF(S159&gt;8000000,24,IF(S159&gt;4000000,23,IF(S159&gt;2000000,22,IF(S159&gt;1000000,21,IF(S159&gt;500000,20,IF(S159&gt;250000,19,IF(S159&gt;130000,18,IF(S159&gt;64000,17,IF(S159&gt;32000,16,IF(S159&gt;16000,15,IF(S159&gt;8000,14,IF(S159&gt;4000,13,IF(S159&gt;2000,12,IF(S159&gt;1000,11,IF(S159&gt;500,10,IF(S159&gt;250,9,IF(S159&gt;130,8,IF(S159&gt;64,7,IF(S159&gt;32,6,IF(S159&gt;16,5,IF(S159&gt;8,4,IF(S159&gt;4,3,IF(S159&gt;2,2,IF(S159&gt;1,1,IF(S159&gt;0.5,0,IF(S159=0,0)))))))))))))))))))))))))))))),"")</f>
        <v/>
      </c>
      <c r="T172" s="43" t="str">
        <f aca="false">IF(T159&lt;&gt;"",IF(T159&gt;130000000,28,IF(T159&gt;64000000,27,IF(T159&gt;320000000,26,IF(T159&gt;16000000,25,IF(T159&gt;8000000,24,IF(T159&gt;4000000,23,IF(T159&gt;2000000,22,IF(T159&gt;1000000,21,IF(T159&gt;500000,20,IF(T159&gt;250000,19,IF(T159&gt;130000,18,IF(T159&gt;64000,17,IF(T159&gt;32000,16,IF(T159&gt;16000,15,IF(T159&gt;8000,14,IF(T159&gt;4000,13,IF(T159&gt;2000,12,IF(T159&gt;1000,11,IF(T159&gt;500,10,IF(T159&gt;250,9,IF(T159&gt;130,8,IF(T159&gt;64,7,IF(T159&gt;32,6,IF(T159&gt;16,5,IF(T159&gt;8,4,IF(T159&gt;4,3,IF(T159&gt;2,2,IF(T159&gt;1,1,IF(T159&gt;0.5,0,IF(T159=0,0)))))))))))))))))))))))))))))),"")</f>
        <v/>
      </c>
      <c r="U172" s="43" t="str">
        <f aca="false">IF(U159&lt;&gt;"",IF(U159&gt;130000000,28,IF(U159&gt;64000000,27,IF(U159&gt;320000000,26,IF(U159&gt;16000000,25,IF(U159&gt;8000000,24,IF(U159&gt;4000000,23,IF(U159&gt;2000000,22,IF(U159&gt;1000000,21,IF(U159&gt;500000,20,IF(U159&gt;250000,19,IF(U159&gt;130000,18,IF(U159&gt;64000,17,IF(U159&gt;32000,16,IF(U159&gt;16000,15,IF(U159&gt;8000,14,IF(U159&gt;4000,13,IF(U159&gt;2000,12,IF(U159&gt;1000,11,IF(U159&gt;500,10,IF(U159&gt;250,9,IF(U159&gt;130,8,IF(U159&gt;64,7,IF(U159&gt;32,6,IF(U159&gt;16,5,IF(U159&gt;8,4,IF(U159&gt;4,3,IF(U159&gt;2,2,IF(U159&gt;1,1,IF(U159&gt;0.5,0,IF(U159=0,0)))))))))))))))))))))))))))))),"")</f>
        <v/>
      </c>
      <c r="V172" s="43" t="str">
        <f aca="false">IF(V159&lt;&gt;"",IF(V159&gt;130000000,28,IF(V159&gt;64000000,27,IF(V159&gt;320000000,26,IF(V159&gt;16000000,25,IF(V159&gt;8000000,24,IF(V159&gt;4000000,23,IF(V159&gt;2000000,22,IF(V159&gt;1000000,21,IF(V159&gt;500000,20,IF(V159&gt;250000,19,IF(V159&gt;130000,18,IF(V159&gt;64000,17,IF(V159&gt;32000,16,IF(V159&gt;16000,15,IF(V159&gt;8000,14,IF(V159&gt;4000,13,IF(V159&gt;2000,12,IF(V159&gt;1000,11,IF(V159&gt;500,10,IF(V159&gt;250,9,IF(V159&gt;130,8,IF(V159&gt;64,7,IF(V159&gt;32,6,IF(V159&gt;16,5,IF(V159&gt;8,4,IF(V159&gt;4,3,IF(V159&gt;2,2,IF(V159&gt;1,1,IF(V159&gt;0.5,0,IF(V159=0,0)))))))))))))))))))))))))))))),"")</f>
        <v/>
      </c>
      <c r="W172" s="43" t="str">
        <f aca="false">IF(W159&lt;&gt;"",IF(W159&gt;130000000,28,IF(W159&gt;64000000,27,IF(W159&gt;320000000,26,IF(W159&gt;16000000,25,IF(W159&gt;8000000,24,IF(W159&gt;4000000,23,IF(W159&gt;2000000,22,IF(W159&gt;1000000,21,IF(W159&gt;500000,20,IF(W159&gt;250000,19,IF(W159&gt;130000,18,IF(W159&gt;64000,17,IF(W159&gt;32000,16,IF(W159&gt;16000,15,IF(W159&gt;8000,14,IF(W159&gt;4000,13,IF(W159&gt;2000,12,IF(W159&gt;1000,11,IF(W159&gt;500,10,IF(W159&gt;250,9,IF(W159&gt;130,8,IF(W159&gt;64,7,IF(W159&gt;32,6,IF(W159&gt;16,5,IF(W159&gt;8,4,IF(W159&gt;4,3,IF(W159&gt;2,2,IF(W159&gt;1,1,IF(W159&gt;0.5,0,IF(W159=0,0)))))))))))))))))))))))))))))),"")</f>
        <v/>
      </c>
      <c r="X172" s="43" t="str">
        <f aca="false">IF(X159&lt;&gt;"",IF(X159&gt;130000000,28,IF(X159&gt;64000000,27,IF(X159&gt;320000000,26,IF(X159&gt;16000000,25,IF(X159&gt;8000000,24,IF(X159&gt;4000000,23,IF(X159&gt;2000000,22,IF(X159&gt;1000000,21,IF(X159&gt;500000,20,IF(X159&gt;250000,19,IF(X159&gt;130000,18,IF(X159&gt;64000,17,IF(X159&gt;32000,16,IF(X159&gt;16000,15,IF(X159&gt;8000,14,IF(X159&gt;4000,13,IF(X159&gt;2000,12,IF(X159&gt;1000,11,IF(X159&gt;500,10,IF(X159&gt;250,9,IF(X159&gt;130,8,IF(X159&gt;64,7,IF(X159&gt;32,6,IF(X159&gt;16,5,IF(X159&gt;8,4,IF(X159&gt;4,3,IF(X159&gt;2,2,IF(X159&gt;1,1,IF(X159&gt;0.5,0,IF(X159=0,0)))))))))))))))))))))))))))))),"")</f>
        <v/>
      </c>
      <c r="Y172" s="43" t="str">
        <f aca="false">IF(Y159&lt;&gt;"",IF(Y159&gt;130000000,28,IF(Y159&gt;64000000,27,IF(Y159&gt;320000000,26,IF(Y159&gt;16000000,25,IF(Y159&gt;8000000,24,IF(Y159&gt;4000000,23,IF(Y159&gt;2000000,22,IF(Y159&gt;1000000,21,IF(Y159&gt;500000,20,IF(Y159&gt;250000,19,IF(Y159&gt;130000,18,IF(Y159&gt;64000,17,IF(Y159&gt;32000,16,IF(Y159&gt;16000,15,IF(Y159&gt;8000,14,IF(Y159&gt;4000,13,IF(Y159&gt;2000,12,IF(Y159&gt;1000,11,IF(Y159&gt;500,10,IF(Y159&gt;250,9,IF(Y159&gt;130,8,IF(Y159&gt;64,7,IF(Y159&gt;32,6,IF(Y159&gt;16,5,IF(Y159&gt;8,4,IF(Y159&gt;4,3,IF(Y159&gt;2,2,IF(Y159&gt;1,1,IF(Y159&gt;0.5,0,IF(Y159=0,0)))))))))))))))))))))))))))))),"")</f>
        <v/>
      </c>
      <c r="Z172" s="43" t="str">
        <f aca="false">IF(Z159&lt;&gt;"",IF(Z159&gt;130000000,28,IF(Z159&gt;64000000,27,IF(Z159&gt;320000000,26,IF(Z159&gt;16000000,25,IF(Z159&gt;8000000,24,IF(Z159&gt;4000000,23,IF(Z159&gt;2000000,22,IF(Z159&gt;1000000,21,IF(Z159&gt;500000,20,IF(Z159&gt;250000,19,IF(Z159&gt;130000,18,IF(Z159&gt;64000,17,IF(Z159&gt;32000,16,IF(Z159&gt;16000,15,IF(Z159&gt;8000,14,IF(Z159&gt;4000,13,IF(Z159&gt;2000,12,IF(Z159&gt;1000,11,IF(Z159&gt;500,10,IF(Z159&gt;250,9,IF(Z159&gt;130,8,IF(Z159&gt;64,7,IF(Z159&gt;32,6,IF(Z159&gt;16,5,IF(Z159&gt;8,4,IF(Z159&gt;4,3,IF(Z159&gt;2,2,IF(Z159&gt;1,1,IF(Z159&gt;0.5,0,IF(Z159=0,0)))))))))))))))))))))))))))))),"")</f>
        <v/>
      </c>
      <c r="AA172" s="43" t="str">
        <f aca="false">IF(AA159&lt;&gt;"",IF(AA159&gt;130000000,28,IF(AA159&gt;64000000,27,IF(AA159&gt;320000000,26,IF(AA159&gt;16000000,25,IF(AA159&gt;8000000,24,IF(AA159&gt;4000000,23,IF(AA159&gt;2000000,22,IF(AA159&gt;1000000,21,IF(AA159&gt;500000,20,IF(AA159&gt;250000,19,IF(AA159&gt;130000,18,IF(AA159&gt;64000,17,IF(AA159&gt;32000,16,IF(AA159&gt;16000,15,IF(AA159&gt;8000,14,IF(AA159&gt;4000,13,IF(AA159&gt;2000,12,IF(AA159&gt;1000,11,IF(AA159&gt;500,10,IF(AA159&gt;250,9,IF(AA159&gt;130,8,IF(AA159&gt;64,7,IF(AA159&gt;32,6,IF(AA159&gt;16,5,IF(AA159&gt;8,4,IF(AA159&gt;4,3,IF(AA159&gt;2,2,IF(AA159&gt;1,1,IF(AA159&gt;0.5,0,IF(AA159=0,0)))))))))))))))))))))))))))))),"")</f>
        <v/>
      </c>
      <c r="AB172" s="43" t="str">
        <f aca="false">IF(AB159&lt;&gt;"",IF(AB159&gt;130000000,28,IF(AB159&gt;64000000,27,IF(AB159&gt;320000000,26,IF(AB159&gt;16000000,25,IF(AB159&gt;8000000,24,IF(AB159&gt;4000000,23,IF(AB159&gt;2000000,22,IF(AB159&gt;1000000,21,IF(AB159&gt;500000,20,IF(AB159&gt;250000,19,IF(AB159&gt;130000,18,IF(AB159&gt;64000,17,IF(AB159&gt;32000,16,IF(AB159&gt;16000,15,IF(AB159&gt;8000,14,IF(AB159&gt;4000,13,IF(AB159&gt;2000,12,IF(AB159&gt;1000,11,IF(AB159&gt;500,10,IF(AB159&gt;250,9,IF(AB159&gt;130,8,IF(AB159&gt;64,7,IF(AB159&gt;32,6,IF(AB159&gt;16,5,IF(AB159&gt;8,4,IF(AB159&gt;4,3,IF(AB159&gt;2,2,IF(AB159&gt;1,1,IF(AB159&gt;0.5,0,IF(AB159=0,0)))))))))))))))))))))))))))))),"")</f>
        <v/>
      </c>
      <c r="AC172" s="43" t="str">
        <f aca="false">IF(AC159&lt;&gt;"",IF(AC159&gt;130000000,28,IF(AC159&gt;64000000,27,IF(AC159&gt;320000000,26,IF(AC159&gt;16000000,25,IF(AC159&gt;8000000,24,IF(AC159&gt;4000000,23,IF(AC159&gt;2000000,22,IF(AC159&gt;1000000,21,IF(AC159&gt;500000,20,IF(AC159&gt;250000,19,IF(AC159&gt;130000,18,IF(AC159&gt;64000,17,IF(AC159&gt;32000,16,IF(AC159&gt;16000,15,IF(AC159&gt;8000,14,IF(AC159&gt;4000,13,IF(AC159&gt;2000,12,IF(AC159&gt;1000,11,IF(AC159&gt;500,10,IF(AC159&gt;250,9,IF(AC159&gt;130,8,IF(AC159&gt;64,7,IF(AC159&gt;32,6,IF(AC159&gt;16,5,IF(AC159&gt;8,4,IF(AC159&gt;4,3,IF(AC159&gt;2,2,IF(AC159&gt;1,1,IF(AC159&gt;0.5,0,IF(AC159=0,0)))))))))))))))))))))))))))))),"")</f>
        <v/>
      </c>
      <c r="AD172" s="43" t="str">
        <f aca="false">IF(AD159&lt;&gt;"",IF(AD159&gt;130000000,28,IF(AD159&gt;64000000,27,IF(AD159&gt;320000000,26,IF(AD159&gt;16000000,25,IF(AD159&gt;8000000,24,IF(AD159&gt;4000000,23,IF(AD159&gt;2000000,22,IF(AD159&gt;1000000,21,IF(AD159&gt;500000,20,IF(AD159&gt;250000,19,IF(AD159&gt;130000,18,IF(AD159&gt;64000,17,IF(AD159&gt;32000,16,IF(AD159&gt;16000,15,IF(AD159&gt;8000,14,IF(AD159&gt;4000,13,IF(AD159&gt;2000,12,IF(AD159&gt;1000,11,IF(AD159&gt;500,10,IF(AD159&gt;250,9,IF(AD159&gt;130,8,IF(AD159&gt;64,7,IF(AD159&gt;32,6,IF(AD159&gt;16,5,IF(AD159&gt;8,4,IF(AD159&gt;4,3,IF(AD159&gt;2,2,IF(AD159&gt;1,1,IF(AD159&gt;0.5,0,IF(AD159=0,0)))))))))))))))))))))))))))))),"")</f>
        <v/>
      </c>
      <c r="AE172" s="43" t="str">
        <f aca="false">IF(AE159&lt;&gt;"",IF(AE159&gt;130000000,28,IF(AE159&gt;64000000,27,IF(AE159&gt;320000000,26,IF(AE159&gt;16000000,25,IF(AE159&gt;8000000,24,IF(AE159&gt;4000000,23,IF(AE159&gt;2000000,22,IF(AE159&gt;1000000,21,IF(AE159&gt;500000,20,IF(AE159&gt;250000,19,IF(AE159&gt;130000,18,IF(AE159&gt;64000,17,IF(AE159&gt;32000,16,IF(AE159&gt;16000,15,IF(AE159&gt;8000,14,IF(AE159&gt;4000,13,IF(AE159&gt;2000,12,IF(AE159&gt;1000,11,IF(AE159&gt;500,10,IF(AE159&gt;250,9,IF(AE159&gt;130,8,IF(AE159&gt;64,7,IF(AE159&gt;32,6,IF(AE159&gt;16,5,IF(AE159&gt;8,4,IF(AE159&gt;4,3,IF(AE159&gt;2,2,IF(AE159&gt;1,1,IF(AE159&gt;0.5,0,IF(AE159=0,0)))))))))))))))))))))))))))))),"")</f>
        <v/>
      </c>
      <c r="AF172" s="43" t="str">
        <f aca="false">IF(AF159&lt;&gt;"",IF(AF159&gt;130000000,28,IF(AF159&gt;64000000,27,IF(AF159&gt;320000000,26,IF(AF159&gt;16000000,25,IF(AF159&gt;8000000,24,IF(AF159&gt;4000000,23,IF(AF159&gt;2000000,22,IF(AF159&gt;1000000,21,IF(AF159&gt;500000,20,IF(AF159&gt;250000,19,IF(AF159&gt;130000,18,IF(AF159&gt;64000,17,IF(AF159&gt;32000,16,IF(AF159&gt;16000,15,IF(AF159&gt;8000,14,IF(AF159&gt;4000,13,IF(AF159&gt;2000,12,IF(AF159&gt;1000,11,IF(AF159&gt;500,10,IF(AF159&gt;250,9,IF(AF159&gt;130,8,IF(AF159&gt;64,7,IF(AF159&gt;32,6,IF(AF159&gt;16,5,IF(AF159&gt;8,4,IF(AF159&gt;4,3,IF(AF159&gt;2,2,IF(AF159&gt;1,1,IF(AF159&gt;0.5,0,IF(AF159=0,0)))))))))))))))))))))))))))))),"")</f>
        <v/>
      </c>
      <c r="AG172" s="43" t="str">
        <f aca="false">IF(AG159&lt;&gt;"",IF(AG159&gt;130000000,28,IF(AG159&gt;64000000,27,IF(AG159&gt;320000000,26,IF(AG159&gt;16000000,25,IF(AG159&gt;8000000,24,IF(AG159&gt;4000000,23,IF(AG159&gt;2000000,22,IF(AG159&gt;1000000,21,IF(AG159&gt;500000,20,IF(AG159&gt;250000,19,IF(AG159&gt;130000,18,IF(AG159&gt;64000,17,IF(AG159&gt;32000,16,IF(AG159&gt;16000,15,IF(AG159&gt;8000,14,IF(AG159&gt;4000,13,IF(AG159&gt;2000,12,IF(AG159&gt;1000,11,IF(AG159&gt;500,10,IF(AG159&gt;250,9,IF(AG159&gt;130,8,IF(AG159&gt;64,7,IF(AG159&gt;32,6,IF(AG159&gt;16,5,IF(AG159&gt;8,4,IF(AG159&gt;4,3,IF(AG159&gt;2,2,IF(AG159&gt;1,1,IF(AG159&gt;0.5,0,IF(AG159=0,0)))))))))))))))))))))))))))))),"")</f>
        <v/>
      </c>
      <c r="AH172" s="43" t="str">
        <f aca="false">IF(AH159&lt;&gt;"",IF(AH159&gt;130000000,28,IF(AH159&gt;64000000,27,IF(AH159&gt;320000000,26,IF(AH159&gt;16000000,25,IF(AH159&gt;8000000,24,IF(AH159&gt;4000000,23,IF(AH159&gt;2000000,22,IF(AH159&gt;1000000,21,IF(AH159&gt;500000,20,IF(AH159&gt;250000,19,IF(AH159&gt;130000,18,IF(AH159&gt;64000,17,IF(AH159&gt;32000,16,IF(AH159&gt;16000,15,IF(AH159&gt;8000,14,IF(AH159&gt;4000,13,IF(AH159&gt;2000,12,IF(AH159&gt;1000,11,IF(AH159&gt;500,10,IF(AH159&gt;250,9,IF(AH159&gt;130,8,IF(AH159&gt;64,7,IF(AH159&gt;32,6,IF(AH159&gt;16,5,IF(AH159&gt;8,4,IF(AH159&gt;4,3,IF(AH159&gt;2,2,IF(AH159&gt;1,1,IF(AH159&gt;0.5,0,IF(AH159=0,0)))))))))))))))))))))))))))))),"")</f>
        <v/>
      </c>
      <c r="AI172" s="43" t="str">
        <f aca="false">IF(AI159&lt;&gt;"",IF(AI159&gt;130000000,28,IF(AI159&gt;64000000,27,IF(AI159&gt;320000000,26,IF(AI159&gt;16000000,25,IF(AI159&gt;8000000,24,IF(AI159&gt;4000000,23,IF(AI159&gt;2000000,22,IF(AI159&gt;1000000,21,IF(AI159&gt;500000,20,IF(AI159&gt;250000,19,IF(AI159&gt;130000,18,IF(AI159&gt;64000,17,IF(AI159&gt;32000,16,IF(AI159&gt;16000,15,IF(AI159&gt;8000,14,IF(AI159&gt;4000,13,IF(AI159&gt;2000,12,IF(AI159&gt;1000,11,IF(AI159&gt;500,10,IF(AI159&gt;250,9,IF(AI159&gt;130,8,IF(AI159&gt;64,7,IF(AI159&gt;32,6,IF(AI159&gt;16,5,IF(AI159&gt;8,4,IF(AI159&gt;4,3,IF(AI159&gt;2,2,IF(AI159&gt;1,1,IF(AI159&gt;0.5,0,IF(AI159=0,0)))))))))))))))))))))))))))))),"")</f>
        <v/>
      </c>
      <c r="AJ172" s="43" t="str">
        <f aca="false">IF(AJ159&lt;&gt;"",IF(AJ159&gt;130000000,28,IF(AJ159&gt;64000000,27,IF(AJ159&gt;320000000,26,IF(AJ159&gt;16000000,25,IF(AJ159&gt;8000000,24,IF(AJ159&gt;4000000,23,IF(AJ159&gt;2000000,22,IF(AJ159&gt;1000000,21,IF(AJ159&gt;500000,20,IF(AJ159&gt;250000,19,IF(AJ159&gt;130000,18,IF(AJ159&gt;64000,17,IF(AJ159&gt;32000,16,IF(AJ159&gt;16000,15,IF(AJ159&gt;8000,14,IF(AJ159&gt;4000,13,IF(AJ159&gt;2000,12,IF(AJ159&gt;1000,11,IF(AJ159&gt;500,10,IF(AJ159&gt;250,9,IF(AJ159&gt;130,8,IF(AJ159&gt;64,7,IF(AJ159&gt;32,6,IF(AJ159&gt;16,5,IF(AJ159&gt;8,4,IF(AJ159&gt;4,3,IF(AJ159&gt;2,2,IF(AJ159&gt;1,1,IF(AJ159&gt;0.5,0,IF(AJ159=0,0)))))))))))))))))))))))))))))),"")</f>
        <v/>
      </c>
      <c r="AK172" s="44" t="str">
        <f aca="false">IF(AK159&lt;&gt;"",IF(AK159&gt;130000000,28,IF(AK159&gt;64000000,27,IF(AK159&gt;320000000,26,IF(AK159&gt;16000000,25,IF(AK159&gt;8000000,24,IF(AK159&gt;4000000,23,IF(AK159&gt;2000000,22,IF(AK159&gt;1000000,21,IF(AK159&gt;500000,20,IF(AK159&gt;250000,19,IF(AK159&gt;130000,18,IF(AK159&gt;64000,17,IF(AK159&gt;32000,16,IF(AK159&gt;16000,15,IF(AK159&gt;8000,14,IF(AK159&gt;4000,13,IF(AK159&gt;2000,12,IF(AK159&gt;1000,11,IF(AK159&gt;500,10,IF(AK159&gt;250,9,IF(AK159&gt;130,8,IF(AK159&gt;64,7,IF(AK159&gt;32,6,IF(AK159&gt;16,5,IF(AK159&gt;8,4,IF(AK159&gt;4,3,IF(AK159&gt;2,2,IF(AK159&gt;1,1,IF(AK159&gt;0.5,0,IF(AK159=0,0)))))))))))))))))))))))))))))),"")</f>
        <v/>
      </c>
      <c r="AL172" s="33"/>
      <c r="AM172" s="34"/>
      <c r="AN172" s="34"/>
      <c r="AO172" s="34"/>
      <c r="AP172" s="34"/>
      <c r="AQ172" s="34"/>
      <c r="AR172" s="40"/>
    </row>
    <row r="173" s="37" customFormat="true" ht="13.8" hidden="false" customHeight="false" outlineLevel="0" collapsed="false">
      <c r="A173" s="31"/>
      <c r="B173" s="36"/>
      <c r="C173" s="37" t="s">
        <v>108</v>
      </c>
      <c r="D173" s="37" t="s">
        <v>312</v>
      </c>
      <c r="E173" s="43" t="str">
        <f aca="false">IF(E160&lt;&gt;"",IF(E160&gt;130000000,28,IF(E160&gt;64000000,27,IF(E160&gt;320000000,26,IF(E160&gt;16000000,25,IF(E160&gt;8000000,24,IF(E160&gt;4000000,23,IF(E160&gt;2000000,22,IF(E160&gt;1000000,21,IF(E160&gt;500000,20,IF(E160&gt;250000,19,IF(E160&gt;130000,18,IF(E160&gt;64000,17,IF(E160&gt;32000,16,IF(E160&gt;16000,15,IF(E160&gt;8000,14,IF(E160&gt;4000,13,IF(E160&gt;2000,12,IF(E160&gt;1000,11,IF(E160&gt;500,10,IF(E160&gt;250,9,IF(E160&gt;130,8,IF(E160&gt;64,7,IF(E160&gt;32,6,IF(E160&gt;16,5,IF(E160&gt;8,4,IF(E160&gt;4,3,IF(E160&gt;2,2,IF(E160&gt;1,1,IF(E160&gt;0.5,0,IF(E160=0,0)))))))))))))))))))))))))))))),"")</f>
        <v/>
      </c>
      <c r="F173" s="43" t="str">
        <f aca="false">IF(F160&lt;&gt;"",IF(F160&gt;130000000,28,IF(F160&gt;64000000,27,IF(F160&gt;320000000,26,IF(F160&gt;16000000,25,IF(F160&gt;8000000,24,IF(F160&gt;4000000,23,IF(F160&gt;2000000,22,IF(F160&gt;1000000,21,IF(F160&gt;500000,20,IF(F160&gt;250000,19,IF(F160&gt;130000,18,IF(F160&gt;64000,17,IF(F160&gt;32000,16,IF(F160&gt;16000,15,IF(F160&gt;8000,14,IF(F160&gt;4000,13,IF(F160&gt;2000,12,IF(F160&gt;1000,11,IF(F160&gt;500,10,IF(F160&gt;250,9,IF(F160&gt;130,8,IF(F160&gt;64,7,IF(F160&gt;32,6,IF(F160&gt;16,5,IF(F160&gt;8,4,IF(F160&gt;4,3,IF(F160&gt;2,2,IF(F160&gt;1,1,IF(F160&gt;0.5,0,IF(F160=0,0)))))))))))))))))))))))))))))),"")</f>
        <v/>
      </c>
      <c r="G173" s="43" t="str">
        <f aca="false">IF(G160&lt;&gt;"",IF(G160&gt;130000000,28,IF(G160&gt;64000000,27,IF(G160&gt;320000000,26,IF(G160&gt;16000000,25,IF(G160&gt;8000000,24,IF(G160&gt;4000000,23,IF(G160&gt;2000000,22,IF(G160&gt;1000000,21,IF(G160&gt;500000,20,IF(G160&gt;250000,19,IF(G160&gt;130000,18,IF(G160&gt;64000,17,IF(G160&gt;32000,16,IF(G160&gt;16000,15,IF(G160&gt;8000,14,IF(G160&gt;4000,13,IF(G160&gt;2000,12,IF(G160&gt;1000,11,IF(G160&gt;500,10,IF(G160&gt;250,9,IF(G160&gt;130,8,IF(G160&gt;64,7,IF(G160&gt;32,6,IF(G160&gt;16,5,IF(G160&gt;8,4,IF(G160&gt;4,3,IF(G160&gt;2,2,IF(G160&gt;1,1,IF(G160&gt;0.5,0,IF(G160=0,0)))))))))))))))))))))))))))))),"")</f>
        <v/>
      </c>
      <c r="H173" s="43" t="str">
        <f aca="false">IF(H160&lt;&gt;"",IF(H160&gt;130000000,28,IF(H160&gt;64000000,27,IF(H160&gt;320000000,26,IF(H160&gt;16000000,25,IF(H160&gt;8000000,24,IF(H160&gt;4000000,23,IF(H160&gt;2000000,22,IF(H160&gt;1000000,21,IF(H160&gt;500000,20,IF(H160&gt;250000,19,IF(H160&gt;130000,18,IF(H160&gt;64000,17,IF(H160&gt;32000,16,IF(H160&gt;16000,15,IF(H160&gt;8000,14,IF(H160&gt;4000,13,IF(H160&gt;2000,12,IF(H160&gt;1000,11,IF(H160&gt;500,10,IF(H160&gt;250,9,IF(H160&gt;130,8,IF(H160&gt;64,7,IF(H160&gt;32,6,IF(H160&gt;16,5,IF(H160&gt;8,4,IF(H160&gt;4,3,IF(H160&gt;2,2,IF(H160&gt;1,1,IF(H160&gt;0.5,0,IF(H160=0,0)))))))))))))))))))))))))))))),"")</f>
        <v/>
      </c>
      <c r="I173" s="43" t="str">
        <f aca="false">IF(I160&lt;&gt;"",IF(I160&gt;130000000,28,IF(I160&gt;64000000,27,IF(I160&gt;320000000,26,IF(I160&gt;16000000,25,IF(I160&gt;8000000,24,IF(I160&gt;4000000,23,IF(I160&gt;2000000,22,IF(I160&gt;1000000,21,IF(I160&gt;500000,20,IF(I160&gt;250000,19,IF(I160&gt;130000,18,IF(I160&gt;64000,17,IF(I160&gt;32000,16,IF(I160&gt;16000,15,IF(I160&gt;8000,14,IF(I160&gt;4000,13,IF(I160&gt;2000,12,IF(I160&gt;1000,11,IF(I160&gt;500,10,IF(I160&gt;250,9,IF(I160&gt;130,8,IF(I160&gt;64,7,IF(I160&gt;32,6,IF(I160&gt;16,5,IF(I160&gt;8,4,IF(I160&gt;4,3,IF(I160&gt;2,2,IF(I160&gt;1,1,IF(I160&gt;0.5,0,IF(I160=0,0)))))))))))))))))))))))))))))),"")</f>
        <v/>
      </c>
      <c r="J173" s="43" t="str">
        <f aca="false">IF(J160&lt;&gt;"",IF(J160&gt;130000000,28,IF(J160&gt;64000000,27,IF(J160&gt;320000000,26,IF(J160&gt;16000000,25,IF(J160&gt;8000000,24,IF(J160&gt;4000000,23,IF(J160&gt;2000000,22,IF(J160&gt;1000000,21,IF(J160&gt;500000,20,IF(J160&gt;250000,19,IF(J160&gt;130000,18,IF(J160&gt;64000,17,IF(J160&gt;32000,16,IF(J160&gt;16000,15,IF(J160&gt;8000,14,IF(J160&gt;4000,13,IF(J160&gt;2000,12,IF(J160&gt;1000,11,IF(J160&gt;500,10,IF(J160&gt;250,9,IF(J160&gt;130,8,IF(J160&gt;64,7,IF(J160&gt;32,6,IF(J160&gt;16,5,IF(J160&gt;8,4,IF(J160&gt;4,3,IF(J160&gt;2,2,IF(J160&gt;1,1,IF(J160&gt;0.5,0,IF(J160=0,0)))))))))))))))))))))))))))))),"")</f>
        <v/>
      </c>
      <c r="K173" s="43" t="str">
        <f aca="false">IF(K160&lt;&gt;"",IF(K160&gt;130000000,28,IF(K160&gt;64000000,27,IF(K160&gt;320000000,26,IF(K160&gt;16000000,25,IF(K160&gt;8000000,24,IF(K160&gt;4000000,23,IF(K160&gt;2000000,22,IF(K160&gt;1000000,21,IF(K160&gt;500000,20,IF(K160&gt;250000,19,IF(K160&gt;130000,18,IF(K160&gt;64000,17,IF(K160&gt;32000,16,IF(K160&gt;16000,15,IF(K160&gt;8000,14,IF(K160&gt;4000,13,IF(K160&gt;2000,12,IF(K160&gt;1000,11,IF(K160&gt;500,10,IF(K160&gt;250,9,IF(K160&gt;130,8,IF(K160&gt;64,7,IF(K160&gt;32,6,IF(K160&gt;16,5,IF(K160&gt;8,4,IF(K160&gt;4,3,IF(K160&gt;2,2,IF(K160&gt;1,1,IF(K160&gt;0.5,0,IF(K160=0,0)))))))))))))))))))))))))))))),"")</f>
        <v/>
      </c>
      <c r="L173" s="43" t="str">
        <f aca="false">IF(L160&lt;&gt;"",IF(L160&gt;130000000,28,IF(L160&gt;64000000,27,IF(L160&gt;320000000,26,IF(L160&gt;16000000,25,IF(L160&gt;8000000,24,IF(L160&gt;4000000,23,IF(L160&gt;2000000,22,IF(L160&gt;1000000,21,IF(L160&gt;500000,20,IF(L160&gt;250000,19,IF(L160&gt;130000,18,IF(L160&gt;64000,17,IF(L160&gt;32000,16,IF(L160&gt;16000,15,IF(L160&gt;8000,14,IF(L160&gt;4000,13,IF(L160&gt;2000,12,IF(L160&gt;1000,11,IF(L160&gt;500,10,IF(L160&gt;250,9,IF(L160&gt;130,8,IF(L160&gt;64,7,IF(L160&gt;32,6,IF(L160&gt;16,5,IF(L160&gt;8,4,IF(L160&gt;4,3,IF(L160&gt;2,2,IF(L160&gt;1,1,IF(L160&gt;0.5,0,IF(L160=0,0)))))))))))))))))))))))))))))),"")</f>
        <v/>
      </c>
      <c r="M173" s="43" t="str">
        <f aca="false">IF(M160&lt;&gt;"",IF(M160&gt;130000000,28,IF(M160&gt;64000000,27,IF(M160&gt;320000000,26,IF(M160&gt;16000000,25,IF(M160&gt;8000000,24,IF(M160&gt;4000000,23,IF(M160&gt;2000000,22,IF(M160&gt;1000000,21,IF(M160&gt;500000,20,IF(M160&gt;250000,19,IF(M160&gt;130000,18,IF(M160&gt;64000,17,IF(M160&gt;32000,16,IF(M160&gt;16000,15,IF(M160&gt;8000,14,IF(M160&gt;4000,13,IF(M160&gt;2000,12,IF(M160&gt;1000,11,IF(M160&gt;500,10,IF(M160&gt;250,9,IF(M160&gt;130,8,IF(M160&gt;64,7,IF(M160&gt;32,6,IF(M160&gt;16,5,IF(M160&gt;8,4,IF(M160&gt;4,3,IF(M160&gt;2,2,IF(M160&gt;1,1,IF(M160&gt;0.5,0,IF(M160=0,0)))))))))))))))))))))))))))))),"")</f>
        <v/>
      </c>
      <c r="N173" s="43" t="str">
        <f aca="false">IF(N160&lt;&gt;"",IF(N160&gt;130000000,28,IF(N160&gt;64000000,27,IF(N160&gt;320000000,26,IF(N160&gt;16000000,25,IF(N160&gt;8000000,24,IF(N160&gt;4000000,23,IF(N160&gt;2000000,22,IF(N160&gt;1000000,21,IF(N160&gt;500000,20,IF(N160&gt;250000,19,IF(N160&gt;130000,18,IF(N160&gt;64000,17,IF(N160&gt;32000,16,IF(N160&gt;16000,15,IF(N160&gt;8000,14,IF(N160&gt;4000,13,IF(N160&gt;2000,12,IF(N160&gt;1000,11,IF(N160&gt;500,10,IF(N160&gt;250,9,IF(N160&gt;130,8,IF(N160&gt;64,7,IF(N160&gt;32,6,IF(N160&gt;16,5,IF(N160&gt;8,4,IF(N160&gt;4,3,IF(N160&gt;2,2,IF(N160&gt;1,1,IF(N160&gt;0.5,0,IF(N160=0,0)))))))))))))))))))))))))))))),"")</f>
        <v/>
      </c>
      <c r="O173" s="43" t="str">
        <f aca="false">IF(O160&lt;&gt;"",IF(O160&gt;130000000,28,IF(O160&gt;64000000,27,IF(O160&gt;320000000,26,IF(O160&gt;16000000,25,IF(O160&gt;8000000,24,IF(O160&gt;4000000,23,IF(O160&gt;2000000,22,IF(O160&gt;1000000,21,IF(O160&gt;500000,20,IF(O160&gt;250000,19,IF(O160&gt;130000,18,IF(O160&gt;64000,17,IF(O160&gt;32000,16,IF(O160&gt;16000,15,IF(O160&gt;8000,14,IF(O160&gt;4000,13,IF(O160&gt;2000,12,IF(O160&gt;1000,11,IF(O160&gt;500,10,IF(O160&gt;250,9,IF(O160&gt;130,8,IF(O160&gt;64,7,IF(O160&gt;32,6,IF(O160&gt;16,5,IF(O160&gt;8,4,IF(O160&gt;4,3,IF(O160&gt;2,2,IF(O160&gt;1,1,IF(O160&gt;0.5,0,IF(O160=0,0)))))))))))))))))))))))))))))),"")</f>
        <v/>
      </c>
      <c r="P173" s="43" t="str">
        <f aca="false">IF(P160&lt;&gt;"",IF(P160&gt;130000000,28,IF(P160&gt;64000000,27,IF(P160&gt;320000000,26,IF(P160&gt;16000000,25,IF(P160&gt;8000000,24,IF(P160&gt;4000000,23,IF(P160&gt;2000000,22,IF(P160&gt;1000000,21,IF(P160&gt;500000,20,IF(P160&gt;250000,19,IF(P160&gt;130000,18,IF(P160&gt;64000,17,IF(P160&gt;32000,16,IF(P160&gt;16000,15,IF(P160&gt;8000,14,IF(P160&gt;4000,13,IF(P160&gt;2000,12,IF(P160&gt;1000,11,IF(P160&gt;500,10,IF(P160&gt;250,9,IF(P160&gt;130,8,IF(P160&gt;64,7,IF(P160&gt;32,6,IF(P160&gt;16,5,IF(P160&gt;8,4,IF(P160&gt;4,3,IF(P160&gt;2,2,IF(P160&gt;1,1,IF(P160&gt;0.5,0,IF(P160=0,0)))))))))))))))))))))))))))))),"")</f>
        <v/>
      </c>
      <c r="Q173" s="43" t="str">
        <f aca="false">IF(Q160&lt;&gt;"",IF(Q160&gt;130000000,28,IF(Q160&gt;64000000,27,IF(Q160&gt;320000000,26,IF(Q160&gt;16000000,25,IF(Q160&gt;8000000,24,IF(Q160&gt;4000000,23,IF(Q160&gt;2000000,22,IF(Q160&gt;1000000,21,IF(Q160&gt;500000,20,IF(Q160&gt;250000,19,IF(Q160&gt;130000,18,IF(Q160&gt;64000,17,IF(Q160&gt;32000,16,IF(Q160&gt;16000,15,IF(Q160&gt;8000,14,IF(Q160&gt;4000,13,IF(Q160&gt;2000,12,IF(Q160&gt;1000,11,IF(Q160&gt;500,10,IF(Q160&gt;250,9,IF(Q160&gt;130,8,IF(Q160&gt;64,7,IF(Q160&gt;32,6,IF(Q160&gt;16,5,IF(Q160&gt;8,4,IF(Q160&gt;4,3,IF(Q160&gt;2,2,IF(Q160&gt;1,1,IF(Q160&gt;0.5,0,IF(Q160=0,0)))))))))))))))))))))))))))))),"")</f>
        <v/>
      </c>
      <c r="R173" s="43" t="str">
        <f aca="false">IF(R160&lt;&gt;"",IF(R160&gt;130000000,28,IF(R160&gt;64000000,27,IF(R160&gt;320000000,26,IF(R160&gt;16000000,25,IF(R160&gt;8000000,24,IF(R160&gt;4000000,23,IF(R160&gt;2000000,22,IF(R160&gt;1000000,21,IF(R160&gt;500000,20,IF(R160&gt;250000,19,IF(R160&gt;130000,18,IF(R160&gt;64000,17,IF(R160&gt;32000,16,IF(R160&gt;16000,15,IF(R160&gt;8000,14,IF(R160&gt;4000,13,IF(R160&gt;2000,12,IF(R160&gt;1000,11,IF(R160&gt;500,10,IF(R160&gt;250,9,IF(R160&gt;130,8,IF(R160&gt;64,7,IF(R160&gt;32,6,IF(R160&gt;16,5,IF(R160&gt;8,4,IF(R160&gt;4,3,IF(R160&gt;2,2,IF(R160&gt;1,1,IF(R160&gt;0.5,0,IF(R160=0,0)))))))))))))))))))))))))))))),"")</f>
        <v/>
      </c>
      <c r="S173" s="43" t="str">
        <f aca="false">IF(S160&lt;&gt;"",IF(S160&gt;130000000,28,IF(S160&gt;64000000,27,IF(S160&gt;320000000,26,IF(S160&gt;16000000,25,IF(S160&gt;8000000,24,IF(S160&gt;4000000,23,IF(S160&gt;2000000,22,IF(S160&gt;1000000,21,IF(S160&gt;500000,20,IF(S160&gt;250000,19,IF(S160&gt;130000,18,IF(S160&gt;64000,17,IF(S160&gt;32000,16,IF(S160&gt;16000,15,IF(S160&gt;8000,14,IF(S160&gt;4000,13,IF(S160&gt;2000,12,IF(S160&gt;1000,11,IF(S160&gt;500,10,IF(S160&gt;250,9,IF(S160&gt;130,8,IF(S160&gt;64,7,IF(S160&gt;32,6,IF(S160&gt;16,5,IF(S160&gt;8,4,IF(S160&gt;4,3,IF(S160&gt;2,2,IF(S160&gt;1,1,IF(S160&gt;0.5,0,IF(S160=0,0)))))))))))))))))))))))))))))),"")</f>
        <v/>
      </c>
      <c r="T173" s="43" t="str">
        <f aca="false">IF(T160&lt;&gt;"",IF(T160&gt;130000000,28,IF(T160&gt;64000000,27,IF(T160&gt;320000000,26,IF(T160&gt;16000000,25,IF(T160&gt;8000000,24,IF(T160&gt;4000000,23,IF(T160&gt;2000000,22,IF(T160&gt;1000000,21,IF(T160&gt;500000,20,IF(T160&gt;250000,19,IF(T160&gt;130000,18,IF(T160&gt;64000,17,IF(T160&gt;32000,16,IF(T160&gt;16000,15,IF(T160&gt;8000,14,IF(T160&gt;4000,13,IF(T160&gt;2000,12,IF(T160&gt;1000,11,IF(T160&gt;500,10,IF(T160&gt;250,9,IF(T160&gt;130,8,IF(T160&gt;64,7,IF(T160&gt;32,6,IF(T160&gt;16,5,IF(T160&gt;8,4,IF(T160&gt;4,3,IF(T160&gt;2,2,IF(T160&gt;1,1,IF(T160&gt;0.5,0,IF(T160=0,0)))))))))))))))))))))))))))))),"")</f>
        <v/>
      </c>
      <c r="U173" s="43" t="str">
        <f aca="false">IF(U160&lt;&gt;"",IF(U160&gt;130000000,28,IF(U160&gt;64000000,27,IF(U160&gt;320000000,26,IF(U160&gt;16000000,25,IF(U160&gt;8000000,24,IF(U160&gt;4000000,23,IF(U160&gt;2000000,22,IF(U160&gt;1000000,21,IF(U160&gt;500000,20,IF(U160&gt;250000,19,IF(U160&gt;130000,18,IF(U160&gt;64000,17,IF(U160&gt;32000,16,IF(U160&gt;16000,15,IF(U160&gt;8000,14,IF(U160&gt;4000,13,IF(U160&gt;2000,12,IF(U160&gt;1000,11,IF(U160&gt;500,10,IF(U160&gt;250,9,IF(U160&gt;130,8,IF(U160&gt;64,7,IF(U160&gt;32,6,IF(U160&gt;16,5,IF(U160&gt;8,4,IF(U160&gt;4,3,IF(U160&gt;2,2,IF(U160&gt;1,1,IF(U160&gt;0.5,0,IF(U160=0,0)))))))))))))))))))))))))))))),"")</f>
        <v/>
      </c>
      <c r="V173" s="43" t="str">
        <f aca="false">IF(V160&lt;&gt;"",IF(V160&gt;130000000,28,IF(V160&gt;64000000,27,IF(V160&gt;320000000,26,IF(V160&gt;16000000,25,IF(V160&gt;8000000,24,IF(V160&gt;4000000,23,IF(V160&gt;2000000,22,IF(V160&gt;1000000,21,IF(V160&gt;500000,20,IF(V160&gt;250000,19,IF(V160&gt;130000,18,IF(V160&gt;64000,17,IF(V160&gt;32000,16,IF(V160&gt;16000,15,IF(V160&gt;8000,14,IF(V160&gt;4000,13,IF(V160&gt;2000,12,IF(V160&gt;1000,11,IF(V160&gt;500,10,IF(V160&gt;250,9,IF(V160&gt;130,8,IF(V160&gt;64,7,IF(V160&gt;32,6,IF(V160&gt;16,5,IF(V160&gt;8,4,IF(V160&gt;4,3,IF(V160&gt;2,2,IF(V160&gt;1,1,IF(V160&gt;0.5,0,IF(V160=0,0)))))))))))))))))))))))))))))),"")</f>
        <v/>
      </c>
      <c r="W173" s="43" t="str">
        <f aca="false">IF(W160&lt;&gt;"",IF(W160&gt;130000000,28,IF(W160&gt;64000000,27,IF(W160&gt;320000000,26,IF(W160&gt;16000000,25,IF(W160&gt;8000000,24,IF(W160&gt;4000000,23,IF(W160&gt;2000000,22,IF(W160&gt;1000000,21,IF(W160&gt;500000,20,IF(W160&gt;250000,19,IF(W160&gt;130000,18,IF(W160&gt;64000,17,IF(W160&gt;32000,16,IF(W160&gt;16000,15,IF(W160&gt;8000,14,IF(W160&gt;4000,13,IF(W160&gt;2000,12,IF(W160&gt;1000,11,IF(W160&gt;500,10,IF(W160&gt;250,9,IF(W160&gt;130,8,IF(W160&gt;64,7,IF(W160&gt;32,6,IF(W160&gt;16,5,IF(W160&gt;8,4,IF(W160&gt;4,3,IF(W160&gt;2,2,IF(W160&gt;1,1,IF(W160&gt;0.5,0,IF(W160=0,0)))))))))))))))))))))))))))))),"")</f>
        <v/>
      </c>
      <c r="X173" s="43" t="str">
        <f aca="false">IF(X160&lt;&gt;"",IF(X160&gt;130000000,28,IF(X160&gt;64000000,27,IF(X160&gt;320000000,26,IF(X160&gt;16000000,25,IF(X160&gt;8000000,24,IF(X160&gt;4000000,23,IF(X160&gt;2000000,22,IF(X160&gt;1000000,21,IF(X160&gt;500000,20,IF(X160&gt;250000,19,IF(X160&gt;130000,18,IF(X160&gt;64000,17,IF(X160&gt;32000,16,IF(X160&gt;16000,15,IF(X160&gt;8000,14,IF(X160&gt;4000,13,IF(X160&gt;2000,12,IF(X160&gt;1000,11,IF(X160&gt;500,10,IF(X160&gt;250,9,IF(X160&gt;130,8,IF(X160&gt;64,7,IF(X160&gt;32,6,IF(X160&gt;16,5,IF(X160&gt;8,4,IF(X160&gt;4,3,IF(X160&gt;2,2,IF(X160&gt;1,1,IF(X160&gt;0.5,0,IF(X160=0,0)))))))))))))))))))))))))))))),"")</f>
        <v/>
      </c>
      <c r="Y173" s="43" t="str">
        <f aca="false">IF(Y160&lt;&gt;"",IF(Y160&gt;130000000,28,IF(Y160&gt;64000000,27,IF(Y160&gt;320000000,26,IF(Y160&gt;16000000,25,IF(Y160&gt;8000000,24,IF(Y160&gt;4000000,23,IF(Y160&gt;2000000,22,IF(Y160&gt;1000000,21,IF(Y160&gt;500000,20,IF(Y160&gt;250000,19,IF(Y160&gt;130000,18,IF(Y160&gt;64000,17,IF(Y160&gt;32000,16,IF(Y160&gt;16000,15,IF(Y160&gt;8000,14,IF(Y160&gt;4000,13,IF(Y160&gt;2000,12,IF(Y160&gt;1000,11,IF(Y160&gt;500,10,IF(Y160&gt;250,9,IF(Y160&gt;130,8,IF(Y160&gt;64,7,IF(Y160&gt;32,6,IF(Y160&gt;16,5,IF(Y160&gt;8,4,IF(Y160&gt;4,3,IF(Y160&gt;2,2,IF(Y160&gt;1,1,IF(Y160&gt;0.5,0,IF(Y160=0,0)))))))))))))))))))))))))))))),"")</f>
        <v/>
      </c>
      <c r="Z173" s="43" t="str">
        <f aca="false">IF(Z160&lt;&gt;"",IF(Z160&gt;130000000,28,IF(Z160&gt;64000000,27,IF(Z160&gt;320000000,26,IF(Z160&gt;16000000,25,IF(Z160&gt;8000000,24,IF(Z160&gt;4000000,23,IF(Z160&gt;2000000,22,IF(Z160&gt;1000000,21,IF(Z160&gt;500000,20,IF(Z160&gt;250000,19,IF(Z160&gt;130000,18,IF(Z160&gt;64000,17,IF(Z160&gt;32000,16,IF(Z160&gt;16000,15,IF(Z160&gt;8000,14,IF(Z160&gt;4000,13,IF(Z160&gt;2000,12,IF(Z160&gt;1000,11,IF(Z160&gt;500,10,IF(Z160&gt;250,9,IF(Z160&gt;130,8,IF(Z160&gt;64,7,IF(Z160&gt;32,6,IF(Z160&gt;16,5,IF(Z160&gt;8,4,IF(Z160&gt;4,3,IF(Z160&gt;2,2,IF(Z160&gt;1,1,IF(Z160&gt;0.5,0,IF(Z160=0,0)))))))))))))))))))))))))))))),"")</f>
        <v/>
      </c>
      <c r="AA173" s="43" t="str">
        <f aca="false">IF(AA160&lt;&gt;"",IF(AA160&gt;130000000,28,IF(AA160&gt;64000000,27,IF(AA160&gt;320000000,26,IF(AA160&gt;16000000,25,IF(AA160&gt;8000000,24,IF(AA160&gt;4000000,23,IF(AA160&gt;2000000,22,IF(AA160&gt;1000000,21,IF(AA160&gt;500000,20,IF(AA160&gt;250000,19,IF(AA160&gt;130000,18,IF(AA160&gt;64000,17,IF(AA160&gt;32000,16,IF(AA160&gt;16000,15,IF(AA160&gt;8000,14,IF(AA160&gt;4000,13,IF(AA160&gt;2000,12,IF(AA160&gt;1000,11,IF(AA160&gt;500,10,IF(AA160&gt;250,9,IF(AA160&gt;130,8,IF(AA160&gt;64,7,IF(AA160&gt;32,6,IF(AA160&gt;16,5,IF(AA160&gt;8,4,IF(AA160&gt;4,3,IF(AA160&gt;2,2,IF(AA160&gt;1,1,IF(AA160&gt;0.5,0,IF(AA160=0,0)))))))))))))))))))))))))))))),"")</f>
        <v/>
      </c>
      <c r="AB173" s="43" t="str">
        <f aca="false">IF(AB160&lt;&gt;"",IF(AB160&gt;130000000,28,IF(AB160&gt;64000000,27,IF(AB160&gt;320000000,26,IF(AB160&gt;16000000,25,IF(AB160&gt;8000000,24,IF(AB160&gt;4000000,23,IF(AB160&gt;2000000,22,IF(AB160&gt;1000000,21,IF(AB160&gt;500000,20,IF(AB160&gt;250000,19,IF(AB160&gt;130000,18,IF(AB160&gt;64000,17,IF(AB160&gt;32000,16,IF(AB160&gt;16000,15,IF(AB160&gt;8000,14,IF(AB160&gt;4000,13,IF(AB160&gt;2000,12,IF(AB160&gt;1000,11,IF(AB160&gt;500,10,IF(AB160&gt;250,9,IF(AB160&gt;130,8,IF(AB160&gt;64,7,IF(AB160&gt;32,6,IF(AB160&gt;16,5,IF(AB160&gt;8,4,IF(AB160&gt;4,3,IF(AB160&gt;2,2,IF(AB160&gt;1,1,IF(AB160&gt;0.5,0,IF(AB160=0,0)))))))))))))))))))))))))))))),"")</f>
        <v/>
      </c>
      <c r="AC173" s="43" t="str">
        <f aca="false">IF(AC160&lt;&gt;"",IF(AC160&gt;130000000,28,IF(AC160&gt;64000000,27,IF(AC160&gt;320000000,26,IF(AC160&gt;16000000,25,IF(AC160&gt;8000000,24,IF(AC160&gt;4000000,23,IF(AC160&gt;2000000,22,IF(AC160&gt;1000000,21,IF(AC160&gt;500000,20,IF(AC160&gt;250000,19,IF(AC160&gt;130000,18,IF(AC160&gt;64000,17,IF(AC160&gt;32000,16,IF(AC160&gt;16000,15,IF(AC160&gt;8000,14,IF(AC160&gt;4000,13,IF(AC160&gt;2000,12,IF(AC160&gt;1000,11,IF(AC160&gt;500,10,IF(AC160&gt;250,9,IF(AC160&gt;130,8,IF(AC160&gt;64,7,IF(AC160&gt;32,6,IF(AC160&gt;16,5,IF(AC160&gt;8,4,IF(AC160&gt;4,3,IF(AC160&gt;2,2,IF(AC160&gt;1,1,IF(AC160&gt;0.5,0,IF(AC160=0,0)))))))))))))))))))))))))))))),"")</f>
        <v/>
      </c>
      <c r="AD173" s="43" t="str">
        <f aca="false">IF(AD160&lt;&gt;"",IF(AD160&gt;130000000,28,IF(AD160&gt;64000000,27,IF(AD160&gt;320000000,26,IF(AD160&gt;16000000,25,IF(AD160&gt;8000000,24,IF(AD160&gt;4000000,23,IF(AD160&gt;2000000,22,IF(AD160&gt;1000000,21,IF(AD160&gt;500000,20,IF(AD160&gt;250000,19,IF(AD160&gt;130000,18,IF(AD160&gt;64000,17,IF(AD160&gt;32000,16,IF(AD160&gt;16000,15,IF(AD160&gt;8000,14,IF(AD160&gt;4000,13,IF(AD160&gt;2000,12,IF(AD160&gt;1000,11,IF(AD160&gt;500,10,IF(AD160&gt;250,9,IF(AD160&gt;130,8,IF(AD160&gt;64,7,IF(AD160&gt;32,6,IF(AD160&gt;16,5,IF(AD160&gt;8,4,IF(AD160&gt;4,3,IF(AD160&gt;2,2,IF(AD160&gt;1,1,IF(AD160&gt;0.5,0,IF(AD160=0,0)))))))))))))))))))))))))))))),"")</f>
        <v/>
      </c>
      <c r="AE173" s="43" t="str">
        <f aca="false">IF(AE160&lt;&gt;"",IF(AE160&gt;130000000,28,IF(AE160&gt;64000000,27,IF(AE160&gt;320000000,26,IF(AE160&gt;16000000,25,IF(AE160&gt;8000000,24,IF(AE160&gt;4000000,23,IF(AE160&gt;2000000,22,IF(AE160&gt;1000000,21,IF(AE160&gt;500000,20,IF(AE160&gt;250000,19,IF(AE160&gt;130000,18,IF(AE160&gt;64000,17,IF(AE160&gt;32000,16,IF(AE160&gt;16000,15,IF(AE160&gt;8000,14,IF(AE160&gt;4000,13,IF(AE160&gt;2000,12,IF(AE160&gt;1000,11,IF(AE160&gt;500,10,IF(AE160&gt;250,9,IF(AE160&gt;130,8,IF(AE160&gt;64,7,IF(AE160&gt;32,6,IF(AE160&gt;16,5,IF(AE160&gt;8,4,IF(AE160&gt;4,3,IF(AE160&gt;2,2,IF(AE160&gt;1,1,IF(AE160&gt;0.5,0,IF(AE160=0,0)))))))))))))))))))))))))))))),"")</f>
        <v/>
      </c>
      <c r="AF173" s="43" t="str">
        <f aca="false">IF(AF160&lt;&gt;"",IF(AF160&gt;130000000,28,IF(AF160&gt;64000000,27,IF(AF160&gt;320000000,26,IF(AF160&gt;16000000,25,IF(AF160&gt;8000000,24,IF(AF160&gt;4000000,23,IF(AF160&gt;2000000,22,IF(AF160&gt;1000000,21,IF(AF160&gt;500000,20,IF(AF160&gt;250000,19,IF(AF160&gt;130000,18,IF(AF160&gt;64000,17,IF(AF160&gt;32000,16,IF(AF160&gt;16000,15,IF(AF160&gt;8000,14,IF(AF160&gt;4000,13,IF(AF160&gt;2000,12,IF(AF160&gt;1000,11,IF(AF160&gt;500,10,IF(AF160&gt;250,9,IF(AF160&gt;130,8,IF(AF160&gt;64,7,IF(AF160&gt;32,6,IF(AF160&gt;16,5,IF(AF160&gt;8,4,IF(AF160&gt;4,3,IF(AF160&gt;2,2,IF(AF160&gt;1,1,IF(AF160&gt;0.5,0,IF(AF160=0,0)))))))))))))))))))))))))))))),"")</f>
        <v/>
      </c>
      <c r="AG173" s="43" t="str">
        <f aca="false">IF(AG160&lt;&gt;"",IF(AG160&gt;130000000,28,IF(AG160&gt;64000000,27,IF(AG160&gt;320000000,26,IF(AG160&gt;16000000,25,IF(AG160&gt;8000000,24,IF(AG160&gt;4000000,23,IF(AG160&gt;2000000,22,IF(AG160&gt;1000000,21,IF(AG160&gt;500000,20,IF(AG160&gt;250000,19,IF(AG160&gt;130000,18,IF(AG160&gt;64000,17,IF(AG160&gt;32000,16,IF(AG160&gt;16000,15,IF(AG160&gt;8000,14,IF(AG160&gt;4000,13,IF(AG160&gt;2000,12,IF(AG160&gt;1000,11,IF(AG160&gt;500,10,IF(AG160&gt;250,9,IF(AG160&gt;130,8,IF(AG160&gt;64,7,IF(AG160&gt;32,6,IF(AG160&gt;16,5,IF(AG160&gt;8,4,IF(AG160&gt;4,3,IF(AG160&gt;2,2,IF(AG160&gt;1,1,IF(AG160&gt;0.5,0,IF(AG160=0,0)))))))))))))))))))))))))))))),"")</f>
        <v/>
      </c>
      <c r="AH173" s="43" t="str">
        <f aca="false">IF(AH160&lt;&gt;"",IF(AH160&gt;130000000,28,IF(AH160&gt;64000000,27,IF(AH160&gt;320000000,26,IF(AH160&gt;16000000,25,IF(AH160&gt;8000000,24,IF(AH160&gt;4000000,23,IF(AH160&gt;2000000,22,IF(AH160&gt;1000000,21,IF(AH160&gt;500000,20,IF(AH160&gt;250000,19,IF(AH160&gt;130000,18,IF(AH160&gt;64000,17,IF(AH160&gt;32000,16,IF(AH160&gt;16000,15,IF(AH160&gt;8000,14,IF(AH160&gt;4000,13,IF(AH160&gt;2000,12,IF(AH160&gt;1000,11,IF(AH160&gt;500,10,IF(AH160&gt;250,9,IF(AH160&gt;130,8,IF(AH160&gt;64,7,IF(AH160&gt;32,6,IF(AH160&gt;16,5,IF(AH160&gt;8,4,IF(AH160&gt;4,3,IF(AH160&gt;2,2,IF(AH160&gt;1,1,IF(AH160&gt;0.5,0,IF(AH160=0,0)))))))))))))))))))))))))))))),"")</f>
        <v/>
      </c>
      <c r="AI173" s="43" t="str">
        <f aca="false">IF(AI160&lt;&gt;"",IF(AI160&gt;130000000,28,IF(AI160&gt;64000000,27,IF(AI160&gt;320000000,26,IF(AI160&gt;16000000,25,IF(AI160&gt;8000000,24,IF(AI160&gt;4000000,23,IF(AI160&gt;2000000,22,IF(AI160&gt;1000000,21,IF(AI160&gt;500000,20,IF(AI160&gt;250000,19,IF(AI160&gt;130000,18,IF(AI160&gt;64000,17,IF(AI160&gt;32000,16,IF(AI160&gt;16000,15,IF(AI160&gt;8000,14,IF(AI160&gt;4000,13,IF(AI160&gt;2000,12,IF(AI160&gt;1000,11,IF(AI160&gt;500,10,IF(AI160&gt;250,9,IF(AI160&gt;130,8,IF(AI160&gt;64,7,IF(AI160&gt;32,6,IF(AI160&gt;16,5,IF(AI160&gt;8,4,IF(AI160&gt;4,3,IF(AI160&gt;2,2,IF(AI160&gt;1,1,IF(AI160&gt;0.5,0,IF(AI160=0,0)))))))))))))))))))))))))))))),"")</f>
        <v/>
      </c>
      <c r="AJ173" s="43" t="str">
        <f aca="false">IF(AJ160&lt;&gt;"",IF(AJ160&gt;130000000,28,IF(AJ160&gt;64000000,27,IF(AJ160&gt;320000000,26,IF(AJ160&gt;16000000,25,IF(AJ160&gt;8000000,24,IF(AJ160&gt;4000000,23,IF(AJ160&gt;2000000,22,IF(AJ160&gt;1000000,21,IF(AJ160&gt;500000,20,IF(AJ160&gt;250000,19,IF(AJ160&gt;130000,18,IF(AJ160&gt;64000,17,IF(AJ160&gt;32000,16,IF(AJ160&gt;16000,15,IF(AJ160&gt;8000,14,IF(AJ160&gt;4000,13,IF(AJ160&gt;2000,12,IF(AJ160&gt;1000,11,IF(AJ160&gt;500,10,IF(AJ160&gt;250,9,IF(AJ160&gt;130,8,IF(AJ160&gt;64,7,IF(AJ160&gt;32,6,IF(AJ160&gt;16,5,IF(AJ160&gt;8,4,IF(AJ160&gt;4,3,IF(AJ160&gt;2,2,IF(AJ160&gt;1,1,IF(AJ160&gt;0.5,0,IF(AJ160=0,0)))))))))))))))))))))))))))))),"")</f>
        <v/>
      </c>
      <c r="AK173" s="44" t="str">
        <f aca="false">IF(AK160&lt;&gt;"",IF(AK160&gt;130000000,28,IF(AK160&gt;64000000,27,IF(AK160&gt;320000000,26,IF(AK160&gt;16000000,25,IF(AK160&gt;8000000,24,IF(AK160&gt;4000000,23,IF(AK160&gt;2000000,22,IF(AK160&gt;1000000,21,IF(AK160&gt;500000,20,IF(AK160&gt;250000,19,IF(AK160&gt;130000,18,IF(AK160&gt;64000,17,IF(AK160&gt;32000,16,IF(AK160&gt;16000,15,IF(AK160&gt;8000,14,IF(AK160&gt;4000,13,IF(AK160&gt;2000,12,IF(AK160&gt;1000,11,IF(AK160&gt;500,10,IF(AK160&gt;250,9,IF(AK160&gt;130,8,IF(AK160&gt;64,7,IF(AK160&gt;32,6,IF(AK160&gt;16,5,IF(AK160&gt;8,4,IF(AK160&gt;4,3,IF(AK160&gt;2,2,IF(AK160&gt;1,1,IF(AK160&gt;0.5,0,IF(AK160=0,0)))))))))))))))))))))))))))))),"")</f>
        <v/>
      </c>
      <c r="AL173" s="33"/>
      <c r="AM173" s="34"/>
      <c r="AN173" s="34"/>
      <c r="AO173" s="34"/>
      <c r="AP173" s="34"/>
      <c r="AQ173" s="34"/>
      <c r="AR173" s="40"/>
    </row>
    <row r="174" s="37" customFormat="true" ht="13.8" hidden="false" customHeight="false" outlineLevel="0" collapsed="false">
      <c r="A174" s="31"/>
      <c r="B174" s="36"/>
      <c r="C174" s="37" t="s">
        <v>110</v>
      </c>
      <c r="D174" s="37" t="s">
        <v>313</v>
      </c>
      <c r="E174" s="47" t="str">
        <f aca="false">IF(E161&lt;&gt;"",IF(E161&gt;130000000,28,IF(E161&gt;64000000,27,IF(E161&gt;320000000,26,IF(E161&gt;16000000,25,IF(E161&gt;8000000,24,IF(E161&gt;4000000,23,IF(E161&gt;2000000,22,IF(E161&gt;1000000,21,IF(E161&gt;500000,20,IF(E161&gt;250000,19,IF(E161&gt;130000,18,IF(E161&gt;64000,17,IF(E161&gt;32000,16,IF(E161&gt;16000,15,IF(E161&gt;8000,14,IF(E161&gt;4000,13,IF(E161&gt;2000,12,IF(E161&gt;1000,11,IF(E161&gt;500,10,IF(E161&gt;250,9,IF(E161&gt;130,8,IF(E161&gt;64,7,IF(E161&gt;32,6,IF(E161&gt;16,5,IF(E161&gt;8,4,IF(E161&gt;4,3,IF(E161&gt;2,2,IF(E161&gt;1,1,IF(E161&gt;0.5,0,IF(E161=0,0)))))))))))))))))))))))))))))),"")</f>
        <v/>
      </c>
      <c r="F174" s="47" t="str">
        <f aca="false">IF(F161&lt;&gt;"",IF(F161&gt;130000000,28,IF(F161&gt;64000000,27,IF(F161&gt;320000000,26,IF(F161&gt;16000000,25,IF(F161&gt;8000000,24,IF(F161&gt;4000000,23,IF(F161&gt;2000000,22,IF(F161&gt;1000000,21,IF(F161&gt;500000,20,IF(F161&gt;250000,19,IF(F161&gt;130000,18,IF(F161&gt;64000,17,IF(F161&gt;32000,16,IF(F161&gt;16000,15,IF(F161&gt;8000,14,IF(F161&gt;4000,13,IF(F161&gt;2000,12,IF(F161&gt;1000,11,IF(F161&gt;500,10,IF(F161&gt;250,9,IF(F161&gt;130,8,IF(F161&gt;64,7,IF(F161&gt;32,6,IF(F161&gt;16,5,IF(F161&gt;8,4,IF(F161&gt;4,3,IF(F161&gt;2,2,IF(F161&gt;1,1,IF(F161&gt;0.5,0,IF(F161=0,0)))))))))))))))))))))))))))))),"")</f>
        <v/>
      </c>
      <c r="G174" s="47" t="str">
        <f aca="false">IF(G161&lt;&gt;"",IF(G161&gt;130000000,28,IF(G161&gt;64000000,27,IF(G161&gt;320000000,26,IF(G161&gt;16000000,25,IF(G161&gt;8000000,24,IF(G161&gt;4000000,23,IF(G161&gt;2000000,22,IF(G161&gt;1000000,21,IF(G161&gt;500000,20,IF(G161&gt;250000,19,IF(G161&gt;130000,18,IF(G161&gt;64000,17,IF(G161&gt;32000,16,IF(G161&gt;16000,15,IF(G161&gt;8000,14,IF(G161&gt;4000,13,IF(G161&gt;2000,12,IF(G161&gt;1000,11,IF(G161&gt;500,10,IF(G161&gt;250,9,IF(G161&gt;130,8,IF(G161&gt;64,7,IF(G161&gt;32,6,IF(G161&gt;16,5,IF(G161&gt;8,4,IF(G161&gt;4,3,IF(G161&gt;2,2,IF(G161&gt;1,1,IF(G161&gt;0.5,0,IF(G161=0,0)))))))))))))))))))))))))))))),"")</f>
        <v/>
      </c>
      <c r="H174" s="47" t="str">
        <f aca="false">IF(H161&lt;&gt;"",IF(H161&gt;130000000,28,IF(H161&gt;64000000,27,IF(H161&gt;320000000,26,IF(H161&gt;16000000,25,IF(H161&gt;8000000,24,IF(H161&gt;4000000,23,IF(H161&gt;2000000,22,IF(H161&gt;1000000,21,IF(H161&gt;500000,20,IF(H161&gt;250000,19,IF(H161&gt;130000,18,IF(H161&gt;64000,17,IF(H161&gt;32000,16,IF(H161&gt;16000,15,IF(H161&gt;8000,14,IF(H161&gt;4000,13,IF(H161&gt;2000,12,IF(H161&gt;1000,11,IF(H161&gt;500,10,IF(H161&gt;250,9,IF(H161&gt;130,8,IF(H161&gt;64,7,IF(H161&gt;32,6,IF(H161&gt;16,5,IF(H161&gt;8,4,IF(H161&gt;4,3,IF(H161&gt;2,2,IF(H161&gt;1,1,IF(H161&gt;0.5,0,IF(H161=0,0)))))))))))))))))))))))))))))),"")</f>
        <v/>
      </c>
      <c r="I174" s="47" t="str">
        <f aca="false">IF(I161&lt;&gt;"",IF(I161&gt;130000000,28,IF(I161&gt;64000000,27,IF(I161&gt;320000000,26,IF(I161&gt;16000000,25,IF(I161&gt;8000000,24,IF(I161&gt;4000000,23,IF(I161&gt;2000000,22,IF(I161&gt;1000000,21,IF(I161&gt;500000,20,IF(I161&gt;250000,19,IF(I161&gt;130000,18,IF(I161&gt;64000,17,IF(I161&gt;32000,16,IF(I161&gt;16000,15,IF(I161&gt;8000,14,IF(I161&gt;4000,13,IF(I161&gt;2000,12,IF(I161&gt;1000,11,IF(I161&gt;500,10,IF(I161&gt;250,9,IF(I161&gt;130,8,IF(I161&gt;64,7,IF(I161&gt;32,6,IF(I161&gt;16,5,IF(I161&gt;8,4,IF(I161&gt;4,3,IF(I161&gt;2,2,IF(I161&gt;1,1,IF(I161&gt;0.5,0,IF(I161=0,0)))))))))))))))))))))))))))))),"")</f>
        <v/>
      </c>
      <c r="J174" s="47" t="str">
        <f aca="false">IF(J161&lt;&gt;"",IF(J161&gt;130000000,28,IF(J161&gt;64000000,27,IF(J161&gt;320000000,26,IF(J161&gt;16000000,25,IF(J161&gt;8000000,24,IF(J161&gt;4000000,23,IF(J161&gt;2000000,22,IF(J161&gt;1000000,21,IF(J161&gt;500000,20,IF(J161&gt;250000,19,IF(J161&gt;130000,18,IF(J161&gt;64000,17,IF(J161&gt;32000,16,IF(J161&gt;16000,15,IF(J161&gt;8000,14,IF(J161&gt;4000,13,IF(J161&gt;2000,12,IF(J161&gt;1000,11,IF(J161&gt;500,10,IF(J161&gt;250,9,IF(J161&gt;130,8,IF(J161&gt;64,7,IF(J161&gt;32,6,IF(J161&gt;16,5,IF(J161&gt;8,4,IF(J161&gt;4,3,IF(J161&gt;2,2,IF(J161&gt;1,1,IF(J161&gt;0.5,0,IF(J161=0,0)))))))))))))))))))))))))))))),"")</f>
        <v/>
      </c>
      <c r="K174" s="47" t="str">
        <f aca="false">IF(K161&lt;&gt;"",IF(K161&gt;130000000,28,IF(K161&gt;64000000,27,IF(K161&gt;320000000,26,IF(K161&gt;16000000,25,IF(K161&gt;8000000,24,IF(K161&gt;4000000,23,IF(K161&gt;2000000,22,IF(K161&gt;1000000,21,IF(K161&gt;500000,20,IF(K161&gt;250000,19,IF(K161&gt;130000,18,IF(K161&gt;64000,17,IF(K161&gt;32000,16,IF(K161&gt;16000,15,IF(K161&gt;8000,14,IF(K161&gt;4000,13,IF(K161&gt;2000,12,IF(K161&gt;1000,11,IF(K161&gt;500,10,IF(K161&gt;250,9,IF(K161&gt;130,8,IF(K161&gt;64,7,IF(K161&gt;32,6,IF(K161&gt;16,5,IF(K161&gt;8,4,IF(K161&gt;4,3,IF(K161&gt;2,2,IF(K161&gt;1,1,IF(K161&gt;0.5,0,IF(K161=0,0)))))))))))))))))))))))))))))),"")</f>
        <v/>
      </c>
      <c r="L174" s="47" t="str">
        <f aca="false">IF(L161&lt;&gt;"",IF(L161&gt;130000000,28,IF(L161&gt;64000000,27,IF(L161&gt;320000000,26,IF(L161&gt;16000000,25,IF(L161&gt;8000000,24,IF(L161&gt;4000000,23,IF(L161&gt;2000000,22,IF(L161&gt;1000000,21,IF(L161&gt;500000,20,IF(L161&gt;250000,19,IF(L161&gt;130000,18,IF(L161&gt;64000,17,IF(L161&gt;32000,16,IF(L161&gt;16000,15,IF(L161&gt;8000,14,IF(L161&gt;4000,13,IF(L161&gt;2000,12,IF(L161&gt;1000,11,IF(L161&gt;500,10,IF(L161&gt;250,9,IF(L161&gt;130,8,IF(L161&gt;64,7,IF(L161&gt;32,6,IF(L161&gt;16,5,IF(L161&gt;8,4,IF(L161&gt;4,3,IF(L161&gt;2,2,IF(L161&gt;1,1,IF(L161&gt;0.5,0,IF(L161=0,0)))))))))))))))))))))))))))))),"")</f>
        <v/>
      </c>
      <c r="M174" s="47" t="str">
        <f aca="false">IF(M161&lt;&gt;"",IF(M161&gt;130000000,28,IF(M161&gt;64000000,27,IF(M161&gt;320000000,26,IF(M161&gt;16000000,25,IF(M161&gt;8000000,24,IF(M161&gt;4000000,23,IF(M161&gt;2000000,22,IF(M161&gt;1000000,21,IF(M161&gt;500000,20,IF(M161&gt;250000,19,IF(M161&gt;130000,18,IF(M161&gt;64000,17,IF(M161&gt;32000,16,IF(M161&gt;16000,15,IF(M161&gt;8000,14,IF(M161&gt;4000,13,IF(M161&gt;2000,12,IF(M161&gt;1000,11,IF(M161&gt;500,10,IF(M161&gt;250,9,IF(M161&gt;130,8,IF(M161&gt;64,7,IF(M161&gt;32,6,IF(M161&gt;16,5,IF(M161&gt;8,4,IF(M161&gt;4,3,IF(M161&gt;2,2,IF(M161&gt;1,1,IF(M161&gt;0.5,0,IF(M161=0,0)))))))))))))))))))))))))))))),"")</f>
        <v/>
      </c>
      <c r="N174" s="47" t="str">
        <f aca="false">IF(N161&lt;&gt;"",IF(N161&gt;130000000,28,IF(N161&gt;64000000,27,IF(N161&gt;320000000,26,IF(N161&gt;16000000,25,IF(N161&gt;8000000,24,IF(N161&gt;4000000,23,IF(N161&gt;2000000,22,IF(N161&gt;1000000,21,IF(N161&gt;500000,20,IF(N161&gt;250000,19,IF(N161&gt;130000,18,IF(N161&gt;64000,17,IF(N161&gt;32000,16,IF(N161&gt;16000,15,IF(N161&gt;8000,14,IF(N161&gt;4000,13,IF(N161&gt;2000,12,IF(N161&gt;1000,11,IF(N161&gt;500,10,IF(N161&gt;250,9,IF(N161&gt;130,8,IF(N161&gt;64,7,IF(N161&gt;32,6,IF(N161&gt;16,5,IF(N161&gt;8,4,IF(N161&gt;4,3,IF(N161&gt;2,2,IF(N161&gt;1,1,IF(N161&gt;0.5,0,IF(N161=0,0)))))))))))))))))))))))))))))),"")</f>
        <v/>
      </c>
      <c r="O174" s="47" t="str">
        <f aca="false">IF(O161&lt;&gt;"",IF(O161&gt;130000000,28,IF(O161&gt;64000000,27,IF(O161&gt;320000000,26,IF(O161&gt;16000000,25,IF(O161&gt;8000000,24,IF(O161&gt;4000000,23,IF(O161&gt;2000000,22,IF(O161&gt;1000000,21,IF(O161&gt;500000,20,IF(O161&gt;250000,19,IF(O161&gt;130000,18,IF(O161&gt;64000,17,IF(O161&gt;32000,16,IF(O161&gt;16000,15,IF(O161&gt;8000,14,IF(O161&gt;4000,13,IF(O161&gt;2000,12,IF(O161&gt;1000,11,IF(O161&gt;500,10,IF(O161&gt;250,9,IF(O161&gt;130,8,IF(O161&gt;64,7,IF(O161&gt;32,6,IF(O161&gt;16,5,IF(O161&gt;8,4,IF(O161&gt;4,3,IF(O161&gt;2,2,IF(O161&gt;1,1,IF(O161&gt;0.5,0,IF(O161=0,0)))))))))))))))))))))))))))))),"")</f>
        <v/>
      </c>
      <c r="P174" s="47" t="str">
        <f aca="false">IF(P161&lt;&gt;"",IF(P161&gt;130000000,28,IF(P161&gt;64000000,27,IF(P161&gt;320000000,26,IF(P161&gt;16000000,25,IF(P161&gt;8000000,24,IF(P161&gt;4000000,23,IF(P161&gt;2000000,22,IF(P161&gt;1000000,21,IF(P161&gt;500000,20,IF(P161&gt;250000,19,IF(P161&gt;130000,18,IF(P161&gt;64000,17,IF(P161&gt;32000,16,IF(P161&gt;16000,15,IF(P161&gt;8000,14,IF(P161&gt;4000,13,IF(P161&gt;2000,12,IF(P161&gt;1000,11,IF(P161&gt;500,10,IF(P161&gt;250,9,IF(P161&gt;130,8,IF(P161&gt;64,7,IF(P161&gt;32,6,IF(P161&gt;16,5,IF(P161&gt;8,4,IF(P161&gt;4,3,IF(P161&gt;2,2,IF(P161&gt;1,1,IF(P161&gt;0.5,0,IF(P161=0,0)))))))))))))))))))))))))))))),"")</f>
        <v/>
      </c>
      <c r="Q174" s="47" t="str">
        <f aca="false">IF(Q161&lt;&gt;"",IF(Q161&gt;130000000,28,IF(Q161&gt;64000000,27,IF(Q161&gt;320000000,26,IF(Q161&gt;16000000,25,IF(Q161&gt;8000000,24,IF(Q161&gt;4000000,23,IF(Q161&gt;2000000,22,IF(Q161&gt;1000000,21,IF(Q161&gt;500000,20,IF(Q161&gt;250000,19,IF(Q161&gt;130000,18,IF(Q161&gt;64000,17,IF(Q161&gt;32000,16,IF(Q161&gt;16000,15,IF(Q161&gt;8000,14,IF(Q161&gt;4000,13,IF(Q161&gt;2000,12,IF(Q161&gt;1000,11,IF(Q161&gt;500,10,IF(Q161&gt;250,9,IF(Q161&gt;130,8,IF(Q161&gt;64,7,IF(Q161&gt;32,6,IF(Q161&gt;16,5,IF(Q161&gt;8,4,IF(Q161&gt;4,3,IF(Q161&gt;2,2,IF(Q161&gt;1,1,IF(Q161&gt;0.5,0,IF(Q161=0,0)))))))))))))))))))))))))))))),"")</f>
        <v/>
      </c>
      <c r="R174" s="47" t="str">
        <f aca="false">IF(R161&lt;&gt;"",IF(R161&gt;130000000,28,IF(R161&gt;64000000,27,IF(R161&gt;320000000,26,IF(R161&gt;16000000,25,IF(R161&gt;8000000,24,IF(R161&gt;4000000,23,IF(R161&gt;2000000,22,IF(R161&gt;1000000,21,IF(R161&gt;500000,20,IF(R161&gt;250000,19,IF(R161&gt;130000,18,IF(R161&gt;64000,17,IF(R161&gt;32000,16,IF(R161&gt;16000,15,IF(R161&gt;8000,14,IF(R161&gt;4000,13,IF(R161&gt;2000,12,IF(R161&gt;1000,11,IF(R161&gt;500,10,IF(R161&gt;250,9,IF(R161&gt;130,8,IF(R161&gt;64,7,IF(R161&gt;32,6,IF(R161&gt;16,5,IF(R161&gt;8,4,IF(R161&gt;4,3,IF(R161&gt;2,2,IF(R161&gt;1,1,IF(R161&gt;0.5,0,IF(R161=0,0)))))))))))))))))))))))))))))),"")</f>
        <v/>
      </c>
      <c r="S174" s="47" t="str">
        <f aca="false">IF(S161&lt;&gt;"",IF(S161&gt;130000000,28,IF(S161&gt;64000000,27,IF(S161&gt;320000000,26,IF(S161&gt;16000000,25,IF(S161&gt;8000000,24,IF(S161&gt;4000000,23,IF(S161&gt;2000000,22,IF(S161&gt;1000000,21,IF(S161&gt;500000,20,IF(S161&gt;250000,19,IF(S161&gt;130000,18,IF(S161&gt;64000,17,IF(S161&gt;32000,16,IF(S161&gt;16000,15,IF(S161&gt;8000,14,IF(S161&gt;4000,13,IF(S161&gt;2000,12,IF(S161&gt;1000,11,IF(S161&gt;500,10,IF(S161&gt;250,9,IF(S161&gt;130,8,IF(S161&gt;64,7,IF(S161&gt;32,6,IF(S161&gt;16,5,IF(S161&gt;8,4,IF(S161&gt;4,3,IF(S161&gt;2,2,IF(S161&gt;1,1,IF(S161&gt;0.5,0,IF(S161=0,0)))))))))))))))))))))))))))))),"")</f>
        <v/>
      </c>
      <c r="T174" s="47" t="str">
        <f aca="false">IF(T161&lt;&gt;"",IF(T161&gt;130000000,28,IF(T161&gt;64000000,27,IF(T161&gt;320000000,26,IF(T161&gt;16000000,25,IF(T161&gt;8000000,24,IF(T161&gt;4000000,23,IF(T161&gt;2000000,22,IF(T161&gt;1000000,21,IF(T161&gt;500000,20,IF(T161&gt;250000,19,IF(T161&gt;130000,18,IF(T161&gt;64000,17,IF(T161&gt;32000,16,IF(T161&gt;16000,15,IF(T161&gt;8000,14,IF(T161&gt;4000,13,IF(T161&gt;2000,12,IF(T161&gt;1000,11,IF(T161&gt;500,10,IF(T161&gt;250,9,IF(T161&gt;130,8,IF(T161&gt;64,7,IF(T161&gt;32,6,IF(T161&gt;16,5,IF(T161&gt;8,4,IF(T161&gt;4,3,IF(T161&gt;2,2,IF(T161&gt;1,1,IF(T161&gt;0.5,0,IF(T161=0,0)))))))))))))))))))))))))))))),"")</f>
        <v/>
      </c>
      <c r="U174" s="47" t="str">
        <f aca="false">IF(U161&lt;&gt;"",IF(U161&gt;130000000,28,IF(U161&gt;64000000,27,IF(U161&gt;320000000,26,IF(U161&gt;16000000,25,IF(U161&gt;8000000,24,IF(U161&gt;4000000,23,IF(U161&gt;2000000,22,IF(U161&gt;1000000,21,IF(U161&gt;500000,20,IF(U161&gt;250000,19,IF(U161&gt;130000,18,IF(U161&gt;64000,17,IF(U161&gt;32000,16,IF(U161&gt;16000,15,IF(U161&gt;8000,14,IF(U161&gt;4000,13,IF(U161&gt;2000,12,IF(U161&gt;1000,11,IF(U161&gt;500,10,IF(U161&gt;250,9,IF(U161&gt;130,8,IF(U161&gt;64,7,IF(U161&gt;32,6,IF(U161&gt;16,5,IF(U161&gt;8,4,IF(U161&gt;4,3,IF(U161&gt;2,2,IF(U161&gt;1,1,IF(U161&gt;0.5,0,IF(U161=0,0)))))))))))))))))))))))))))))),"")</f>
        <v/>
      </c>
      <c r="V174" s="47" t="str">
        <f aca="false">IF(V161&lt;&gt;"",IF(V161&gt;130000000,28,IF(V161&gt;64000000,27,IF(V161&gt;320000000,26,IF(V161&gt;16000000,25,IF(V161&gt;8000000,24,IF(V161&gt;4000000,23,IF(V161&gt;2000000,22,IF(V161&gt;1000000,21,IF(V161&gt;500000,20,IF(V161&gt;250000,19,IF(V161&gt;130000,18,IF(V161&gt;64000,17,IF(V161&gt;32000,16,IF(V161&gt;16000,15,IF(V161&gt;8000,14,IF(V161&gt;4000,13,IF(V161&gt;2000,12,IF(V161&gt;1000,11,IF(V161&gt;500,10,IF(V161&gt;250,9,IF(V161&gt;130,8,IF(V161&gt;64,7,IF(V161&gt;32,6,IF(V161&gt;16,5,IF(V161&gt;8,4,IF(V161&gt;4,3,IF(V161&gt;2,2,IF(V161&gt;1,1,IF(V161&gt;0.5,0,IF(V161=0,0)))))))))))))))))))))))))))))),"")</f>
        <v/>
      </c>
      <c r="W174" s="47" t="str">
        <f aca="false">IF(W161&lt;&gt;"",IF(W161&gt;130000000,28,IF(W161&gt;64000000,27,IF(W161&gt;320000000,26,IF(W161&gt;16000000,25,IF(W161&gt;8000000,24,IF(W161&gt;4000000,23,IF(W161&gt;2000000,22,IF(W161&gt;1000000,21,IF(W161&gt;500000,20,IF(W161&gt;250000,19,IF(W161&gt;130000,18,IF(W161&gt;64000,17,IF(W161&gt;32000,16,IF(W161&gt;16000,15,IF(W161&gt;8000,14,IF(W161&gt;4000,13,IF(W161&gt;2000,12,IF(W161&gt;1000,11,IF(W161&gt;500,10,IF(W161&gt;250,9,IF(W161&gt;130,8,IF(W161&gt;64,7,IF(W161&gt;32,6,IF(W161&gt;16,5,IF(W161&gt;8,4,IF(W161&gt;4,3,IF(W161&gt;2,2,IF(W161&gt;1,1,IF(W161&gt;0.5,0,IF(W161=0,0)))))))))))))))))))))))))))))),"")</f>
        <v/>
      </c>
      <c r="X174" s="47" t="str">
        <f aca="false">IF(X161&lt;&gt;"",IF(X161&gt;130000000,28,IF(X161&gt;64000000,27,IF(X161&gt;320000000,26,IF(X161&gt;16000000,25,IF(X161&gt;8000000,24,IF(X161&gt;4000000,23,IF(X161&gt;2000000,22,IF(X161&gt;1000000,21,IF(X161&gt;500000,20,IF(X161&gt;250000,19,IF(X161&gt;130000,18,IF(X161&gt;64000,17,IF(X161&gt;32000,16,IF(X161&gt;16000,15,IF(X161&gt;8000,14,IF(X161&gt;4000,13,IF(X161&gt;2000,12,IF(X161&gt;1000,11,IF(X161&gt;500,10,IF(X161&gt;250,9,IF(X161&gt;130,8,IF(X161&gt;64,7,IF(X161&gt;32,6,IF(X161&gt;16,5,IF(X161&gt;8,4,IF(X161&gt;4,3,IF(X161&gt;2,2,IF(X161&gt;1,1,IF(X161&gt;0.5,0,IF(X161=0,0)))))))))))))))))))))))))))))),"")</f>
        <v/>
      </c>
      <c r="Y174" s="47" t="str">
        <f aca="false">IF(Y161&lt;&gt;"",IF(Y161&gt;130000000,28,IF(Y161&gt;64000000,27,IF(Y161&gt;320000000,26,IF(Y161&gt;16000000,25,IF(Y161&gt;8000000,24,IF(Y161&gt;4000000,23,IF(Y161&gt;2000000,22,IF(Y161&gt;1000000,21,IF(Y161&gt;500000,20,IF(Y161&gt;250000,19,IF(Y161&gt;130000,18,IF(Y161&gt;64000,17,IF(Y161&gt;32000,16,IF(Y161&gt;16000,15,IF(Y161&gt;8000,14,IF(Y161&gt;4000,13,IF(Y161&gt;2000,12,IF(Y161&gt;1000,11,IF(Y161&gt;500,10,IF(Y161&gt;250,9,IF(Y161&gt;130,8,IF(Y161&gt;64,7,IF(Y161&gt;32,6,IF(Y161&gt;16,5,IF(Y161&gt;8,4,IF(Y161&gt;4,3,IF(Y161&gt;2,2,IF(Y161&gt;1,1,IF(Y161&gt;0.5,0,IF(Y161=0,0)))))))))))))))))))))))))))))),"")</f>
        <v/>
      </c>
      <c r="Z174" s="47" t="str">
        <f aca="false">IF(Z161&lt;&gt;"",IF(Z161&gt;130000000,28,IF(Z161&gt;64000000,27,IF(Z161&gt;320000000,26,IF(Z161&gt;16000000,25,IF(Z161&gt;8000000,24,IF(Z161&gt;4000000,23,IF(Z161&gt;2000000,22,IF(Z161&gt;1000000,21,IF(Z161&gt;500000,20,IF(Z161&gt;250000,19,IF(Z161&gt;130000,18,IF(Z161&gt;64000,17,IF(Z161&gt;32000,16,IF(Z161&gt;16000,15,IF(Z161&gt;8000,14,IF(Z161&gt;4000,13,IF(Z161&gt;2000,12,IF(Z161&gt;1000,11,IF(Z161&gt;500,10,IF(Z161&gt;250,9,IF(Z161&gt;130,8,IF(Z161&gt;64,7,IF(Z161&gt;32,6,IF(Z161&gt;16,5,IF(Z161&gt;8,4,IF(Z161&gt;4,3,IF(Z161&gt;2,2,IF(Z161&gt;1,1,IF(Z161&gt;0.5,0,IF(Z161=0,0)))))))))))))))))))))))))))))),"")</f>
        <v/>
      </c>
      <c r="AA174" s="47" t="str">
        <f aca="false">IF(AA161&lt;&gt;"",IF(AA161&gt;130000000,28,IF(AA161&gt;64000000,27,IF(AA161&gt;320000000,26,IF(AA161&gt;16000000,25,IF(AA161&gt;8000000,24,IF(AA161&gt;4000000,23,IF(AA161&gt;2000000,22,IF(AA161&gt;1000000,21,IF(AA161&gt;500000,20,IF(AA161&gt;250000,19,IF(AA161&gt;130000,18,IF(AA161&gt;64000,17,IF(AA161&gt;32000,16,IF(AA161&gt;16000,15,IF(AA161&gt;8000,14,IF(AA161&gt;4000,13,IF(AA161&gt;2000,12,IF(AA161&gt;1000,11,IF(AA161&gt;500,10,IF(AA161&gt;250,9,IF(AA161&gt;130,8,IF(AA161&gt;64,7,IF(AA161&gt;32,6,IF(AA161&gt;16,5,IF(AA161&gt;8,4,IF(AA161&gt;4,3,IF(AA161&gt;2,2,IF(AA161&gt;1,1,IF(AA161&gt;0.5,0,IF(AA161=0,0)))))))))))))))))))))))))))))),"")</f>
        <v/>
      </c>
      <c r="AB174" s="47" t="str">
        <f aca="false">IF(AB161&lt;&gt;"",IF(AB161&gt;130000000,28,IF(AB161&gt;64000000,27,IF(AB161&gt;320000000,26,IF(AB161&gt;16000000,25,IF(AB161&gt;8000000,24,IF(AB161&gt;4000000,23,IF(AB161&gt;2000000,22,IF(AB161&gt;1000000,21,IF(AB161&gt;500000,20,IF(AB161&gt;250000,19,IF(AB161&gt;130000,18,IF(AB161&gt;64000,17,IF(AB161&gt;32000,16,IF(AB161&gt;16000,15,IF(AB161&gt;8000,14,IF(AB161&gt;4000,13,IF(AB161&gt;2000,12,IF(AB161&gt;1000,11,IF(AB161&gt;500,10,IF(AB161&gt;250,9,IF(AB161&gt;130,8,IF(AB161&gt;64,7,IF(AB161&gt;32,6,IF(AB161&gt;16,5,IF(AB161&gt;8,4,IF(AB161&gt;4,3,IF(AB161&gt;2,2,IF(AB161&gt;1,1,IF(AB161&gt;0.5,0,IF(AB161=0,0)))))))))))))))))))))))))))))),"")</f>
        <v/>
      </c>
      <c r="AC174" s="47" t="str">
        <f aca="false">IF(AC161&lt;&gt;"",IF(AC161&gt;130000000,28,IF(AC161&gt;64000000,27,IF(AC161&gt;320000000,26,IF(AC161&gt;16000000,25,IF(AC161&gt;8000000,24,IF(AC161&gt;4000000,23,IF(AC161&gt;2000000,22,IF(AC161&gt;1000000,21,IF(AC161&gt;500000,20,IF(AC161&gt;250000,19,IF(AC161&gt;130000,18,IF(AC161&gt;64000,17,IF(AC161&gt;32000,16,IF(AC161&gt;16000,15,IF(AC161&gt;8000,14,IF(AC161&gt;4000,13,IF(AC161&gt;2000,12,IF(AC161&gt;1000,11,IF(AC161&gt;500,10,IF(AC161&gt;250,9,IF(AC161&gt;130,8,IF(AC161&gt;64,7,IF(AC161&gt;32,6,IF(AC161&gt;16,5,IF(AC161&gt;8,4,IF(AC161&gt;4,3,IF(AC161&gt;2,2,IF(AC161&gt;1,1,IF(AC161&gt;0.5,0,IF(AC161=0,0)))))))))))))))))))))))))))))),"")</f>
        <v/>
      </c>
      <c r="AD174" s="47" t="str">
        <f aca="false">IF(AD161&lt;&gt;"",IF(AD161&gt;130000000,28,IF(AD161&gt;64000000,27,IF(AD161&gt;320000000,26,IF(AD161&gt;16000000,25,IF(AD161&gt;8000000,24,IF(AD161&gt;4000000,23,IF(AD161&gt;2000000,22,IF(AD161&gt;1000000,21,IF(AD161&gt;500000,20,IF(AD161&gt;250000,19,IF(AD161&gt;130000,18,IF(AD161&gt;64000,17,IF(AD161&gt;32000,16,IF(AD161&gt;16000,15,IF(AD161&gt;8000,14,IF(AD161&gt;4000,13,IF(AD161&gt;2000,12,IF(AD161&gt;1000,11,IF(AD161&gt;500,10,IF(AD161&gt;250,9,IF(AD161&gt;130,8,IF(AD161&gt;64,7,IF(AD161&gt;32,6,IF(AD161&gt;16,5,IF(AD161&gt;8,4,IF(AD161&gt;4,3,IF(AD161&gt;2,2,IF(AD161&gt;1,1,IF(AD161&gt;0.5,0,IF(AD161=0,0)))))))))))))))))))))))))))))),"")</f>
        <v/>
      </c>
      <c r="AE174" s="47" t="str">
        <f aca="false">IF(AE161&lt;&gt;"",IF(AE161&gt;130000000,28,IF(AE161&gt;64000000,27,IF(AE161&gt;320000000,26,IF(AE161&gt;16000000,25,IF(AE161&gt;8000000,24,IF(AE161&gt;4000000,23,IF(AE161&gt;2000000,22,IF(AE161&gt;1000000,21,IF(AE161&gt;500000,20,IF(AE161&gt;250000,19,IF(AE161&gt;130000,18,IF(AE161&gt;64000,17,IF(AE161&gt;32000,16,IF(AE161&gt;16000,15,IF(AE161&gt;8000,14,IF(AE161&gt;4000,13,IF(AE161&gt;2000,12,IF(AE161&gt;1000,11,IF(AE161&gt;500,10,IF(AE161&gt;250,9,IF(AE161&gt;130,8,IF(AE161&gt;64,7,IF(AE161&gt;32,6,IF(AE161&gt;16,5,IF(AE161&gt;8,4,IF(AE161&gt;4,3,IF(AE161&gt;2,2,IF(AE161&gt;1,1,IF(AE161&gt;0.5,0,IF(AE161=0,0)))))))))))))))))))))))))))))),"")</f>
        <v/>
      </c>
      <c r="AF174" s="47" t="str">
        <f aca="false">IF(AF161&lt;&gt;"",IF(AF161&gt;130000000,28,IF(AF161&gt;64000000,27,IF(AF161&gt;320000000,26,IF(AF161&gt;16000000,25,IF(AF161&gt;8000000,24,IF(AF161&gt;4000000,23,IF(AF161&gt;2000000,22,IF(AF161&gt;1000000,21,IF(AF161&gt;500000,20,IF(AF161&gt;250000,19,IF(AF161&gt;130000,18,IF(AF161&gt;64000,17,IF(AF161&gt;32000,16,IF(AF161&gt;16000,15,IF(AF161&gt;8000,14,IF(AF161&gt;4000,13,IF(AF161&gt;2000,12,IF(AF161&gt;1000,11,IF(AF161&gt;500,10,IF(AF161&gt;250,9,IF(AF161&gt;130,8,IF(AF161&gt;64,7,IF(AF161&gt;32,6,IF(AF161&gt;16,5,IF(AF161&gt;8,4,IF(AF161&gt;4,3,IF(AF161&gt;2,2,IF(AF161&gt;1,1,IF(AF161&gt;0.5,0,IF(AF161=0,0)))))))))))))))))))))))))))))),"")</f>
        <v/>
      </c>
      <c r="AG174" s="47" t="str">
        <f aca="false">IF(AG161&lt;&gt;"",IF(AG161&gt;130000000,28,IF(AG161&gt;64000000,27,IF(AG161&gt;320000000,26,IF(AG161&gt;16000000,25,IF(AG161&gt;8000000,24,IF(AG161&gt;4000000,23,IF(AG161&gt;2000000,22,IF(AG161&gt;1000000,21,IF(AG161&gt;500000,20,IF(AG161&gt;250000,19,IF(AG161&gt;130000,18,IF(AG161&gt;64000,17,IF(AG161&gt;32000,16,IF(AG161&gt;16000,15,IF(AG161&gt;8000,14,IF(AG161&gt;4000,13,IF(AG161&gt;2000,12,IF(AG161&gt;1000,11,IF(AG161&gt;500,10,IF(AG161&gt;250,9,IF(AG161&gt;130,8,IF(AG161&gt;64,7,IF(AG161&gt;32,6,IF(AG161&gt;16,5,IF(AG161&gt;8,4,IF(AG161&gt;4,3,IF(AG161&gt;2,2,IF(AG161&gt;1,1,IF(AG161&gt;0.5,0,IF(AG161=0,0)))))))))))))))))))))))))))))),"")</f>
        <v/>
      </c>
      <c r="AH174" s="47" t="str">
        <f aca="false">IF(AH161&lt;&gt;"",IF(AH161&gt;130000000,28,IF(AH161&gt;64000000,27,IF(AH161&gt;320000000,26,IF(AH161&gt;16000000,25,IF(AH161&gt;8000000,24,IF(AH161&gt;4000000,23,IF(AH161&gt;2000000,22,IF(AH161&gt;1000000,21,IF(AH161&gt;500000,20,IF(AH161&gt;250000,19,IF(AH161&gt;130000,18,IF(AH161&gt;64000,17,IF(AH161&gt;32000,16,IF(AH161&gt;16000,15,IF(AH161&gt;8000,14,IF(AH161&gt;4000,13,IF(AH161&gt;2000,12,IF(AH161&gt;1000,11,IF(AH161&gt;500,10,IF(AH161&gt;250,9,IF(AH161&gt;130,8,IF(AH161&gt;64,7,IF(AH161&gt;32,6,IF(AH161&gt;16,5,IF(AH161&gt;8,4,IF(AH161&gt;4,3,IF(AH161&gt;2,2,IF(AH161&gt;1,1,IF(AH161&gt;0.5,0,IF(AH161=0,0)))))))))))))))))))))))))))))),"")</f>
        <v/>
      </c>
      <c r="AI174" s="47" t="str">
        <f aca="false">IF(AI161&lt;&gt;"",IF(AI161&gt;130000000,28,IF(AI161&gt;64000000,27,IF(AI161&gt;320000000,26,IF(AI161&gt;16000000,25,IF(AI161&gt;8000000,24,IF(AI161&gt;4000000,23,IF(AI161&gt;2000000,22,IF(AI161&gt;1000000,21,IF(AI161&gt;500000,20,IF(AI161&gt;250000,19,IF(AI161&gt;130000,18,IF(AI161&gt;64000,17,IF(AI161&gt;32000,16,IF(AI161&gt;16000,15,IF(AI161&gt;8000,14,IF(AI161&gt;4000,13,IF(AI161&gt;2000,12,IF(AI161&gt;1000,11,IF(AI161&gt;500,10,IF(AI161&gt;250,9,IF(AI161&gt;130,8,IF(AI161&gt;64,7,IF(AI161&gt;32,6,IF(AI161&gt;16,5,IF(AI161&gt;8,4,IF(AI161&gt;4,3,IF(AI161&gt;2,2,IF(AI161&gt;1,1,IF(AI161&gt;0.5,0,IF(AI161=0,0)))))))))))))))))))))))))))))),"")</f>
        <v/>
      </c>
      <c r="AJ174" s="47" t="str">
        <f aca="false">IF(AJ161&lt;&gt;"",IF(AJ161&gt;130000000,28,IF(AJ161&gt;64000000,27,IF(AJ161&gt;320000000,26,IF(AJ161&gt;16000000,25,IF(AJ161&gt;8000000,24,IF(AJ161&gt;4000000,23,IF(AJ161&gt;2000000,22,IF(AJ161&gt;1000000,21,IF(AJ161&gt;500000,20,IF(AJ161&gt;250000,19,IF(AJ161&gt;130000,18,IF(AJ161&gt;64000,17,IF(AJ161&gt;32000,16,IF(AJ161&gt;16000,15,IF(AJ161&gt;8000,14,IF(AJ161&gt;4000,13,IF(AJ161&gt;2000,12,IF(AJ161&gt;1000,11,IF(AJ161&gt;500,10,IF(AJ161&gt;250,9,IF(AJ161&gt;130,8,IF(AJ161&gt;64,7,IF(AJ161&gt;32,6,IF(AJ161&gt;16,5,IF(AJ161&gt;8,4,IF(AJ161&gt;4,3,IF(AJ161&gt;2,2,IF(AJ161&gt;1,1,IF(AJ161&gt;0.5,0,IF(AJ161=0,0)))))))))))))))))))))))))))))),"")</f>
        <v/>
      </c>
      <c r="AK174" s="74" t="str">
        <f aca="false">IF(AK161&lt;&gt;"",IF(AK161&gt;130000000,28,IF(AK161&gt;64000000,27,IF(AK161&gt;320000000,26,IF(AK161&gt;16000000,25,IF(AK161&gt;8000000,24,IF(AK161&gt;4000000,23,IF(AK161&gt;2000000,22,IF(AK161&gt;1000000,21,IF(AK161&gt;500000,20,IF(AK161&gt;250000,19,IF(AK161&gt;130000,18,IF(AK161&gt;64000,17,IF(AK161&gt;32000,16,IF(AK161&gt;16000,15,IF(AK161&gt;8000,14,IF(AK161&gt;4000,13,IF(AK161&gt;2000,12,IF(AK161&gt;1000,11,IF(AK161&gt;500,10,IF(AK161&gt;250,9,IF(AK161&gt;130,8,IF(AK161&gt;64,7,IF(AK161&gt;32,6,IF(AK161&gt;16,5,IF(AK161&gt;8,4,IF(AK161&gt;4,3,IF(AK161&gt;2,2,IF(AK161&gt;1,1,IF(AK161&gt;0.5,0,IF(AK161=0,0)))))))))))))))))))))))))))))),"")</f>
        <v/>
      </c>
      <c r="AL174" s="33"/>
      <c r="AM174" s="34"/>
      <c r="AN174" s="34"/>
      <c r="AO174" s="34"/>
      <c r="AP174" s="34"/>
      <c r="AQ174" s="34"/>
      <c r="AR174" s="40"/>
    </row>
    <row r="175" s="53" customFormat="true" ht="14.25" hidden="false" customHeight="true" outlineLevel="0" collapsed="false">
      <c r="A175" s="75" t="s">
        <v>314</v>
      </c>
      <c r="B175" s="52" t="s">
        <v>315</v>
      </c>
      <c r="C175" s="53" t="s">
        <v>316</v>
      </c>
      <c r="D175" s="53" t="s">
        <v>317</v>
      </c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5"/>
      <c r="AL175" s="3"/>
      <c r="AM175" s="4"/>
      <c r="AN175" s="4"/>
      <c r="AO175" s="4"/>
      <c r="AP175" s="4"/>
      <c r="AQ175" s="4"/>
      <c r="AR175" s="56"/>
    </row>
    <row r="176" s="58" customFormat="true" ht="13.8" hidden="false" customHeight="false" outlineLevel="0" collapsed="false">
      <c r="A176" s="75"/>
      <c r="B176" s="57" t="s">
        <v>315</v>
      </c>
      <c r="C176" s="58" t="s">
        <v>318</v>
      </c>
      <c r="D176" s="58" t="s">
        <v>319</v>
      </c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60"/>
      <c r="AL176" s="3"/>
      <c r="AM176" s="4"/>
      <c r="AN176" s="4"/>
      <c r="AO176" s="4"/>
      <c r="AP176" s="4"/>
      <c r="AQ176" s="4"/>
      <c r="AR176" s="61"/>
    </row>
    <row r="177" s="58" customFormat="true" ht="13.8" hidden="false" customHeight="false" outlineLevel="0" collapsed="false">
      <c r="A177" s="75"/>
      <c r="B177" s="57" t="s">
        <v>320</v>
      </c>
      <c r="C177" s="58" t="s">
        <v>318</v>
      </c>
      <c r="D177" s="58" t="s">
        <v>321</v>
      </c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60"/>
      <c r="AL177" s="3"/>
      <c r="AM177" s="4"/>
      <c r="AN177" s="4"/>
      <c r="AO177" s="4"/>
      <c r="AP177" s="4"/>
      <c r="AQ177" s="4"/>
      <c r="AR177" s="61"/>
    </row>
    <row r="178" s="58" customFormat="true" ht="13.8" hidden="false" customHeight="false" outlineLevel="0" collapsed="false">
      <c r="A178" s="75"/>
      <c r="B178" s="57" t="s">
        <v>315</v>
      </c>
      <c r="C178" s="58" t="s">
        <v>322</v>
      </c>
      <c r="D178" s="58" t="s">
        <v>323</v>
      </c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60"/>
      <c r="AL178" s="3"/>
      <c r="AM178" s="4"/>
      <c r="AN178" s="4"/>
      <c r="AO178" s="4"/>
      <c r="AP178" s="4"/>
      <c r="AQ178" s="4"/>
      <c r="AR178" s="61"/>
    </row>
    <row r="179" s="58" customFormat="true" ht="13.8" hidden="false" customHeight="false" outlineLevel="0" collapsed="false">
      <c r="A179" s="75"/>
      <c r="B179" s="57" t="s">
        <v>320</v>
      </c>
      <c r="C179" s="58" t="s">
        <v>322</v>
      </c>
      <c r="D179" s="58" t="s">
        <v>324</v>
      </c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60"/>
      <c r="AL179" s="3"/>
      <c r="AM179" s="4"/>
      <c r="AN179" s="4"/>
      <c r="AO179" s="4"/>
      <c r="AP179" s="4"/>
      <c r="AQ179" s="4"/>
      <c r="AR179" s="61"/>
    </row>
    <row r="180" s="58" customFormat="true" ht="13.8" hidden="false" customHeight="false" outlineLevel="0" collapsed="false">
      <c r="A180" s="75"/>
      <c r="B180" s="57" t="s">
        <v>315</v>
      </c>
      <c r="C180" s="58" t="s">
        <v>325</v>
      </c>
      <c r="D180" s="58" t="s">
        <v>326</v>
      </c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60"/>
      <c r="AL180" s="3"/>
      <c r="AM180" s="4"/>
      <c r="AN180" s="4"/>
      <c r="AO180" s="4"/>
      <c r="AP180" s="4"/>
      <c r="AQ180" s="4"/>
      <c r="AR180" s="61"/>
    </row>
    <row r="181" s="58" customFormat="true" ht="13.8" hidden="false" customHeight="false" outlineLevel="0" collapsed="false">
      <c r="A181" s="75"/>
      <c r="B181" s="57" t="s">
        <v>315</v>
      </c>
      <c r="C181" s="58" t="s">
        <v>327</v>
      </c>
      <c r="D181" s="58" t="s">
        <v>328</v>
      </c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60"/>
      <c r="AL181" s="3"/>
      <c r="AM181" s="4"/>
      <c r="AN181" s="4"/>
      <c r="AO181" s="4"/>
      <c r="AP181" s="4"/>
      <c r="AQ181" s="4"/>
      <c r="AR181" s="61"/>
    </row>
    <row r="182" s="58" customFormat="true" ht="13.8" hidden="false" customHeight="false" outlineLevel="0" collapsed="false">
      <c r="A182" s="75"/>
      <c r="B182" s="57" t="s">
        <v>320</v>
      </c>
      <c r="C182" s="58" t="s">
        <v>327</v>
      </c>
      <c r="D182" s="58" t="s">
        <v>329</v>
      </c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60"/>
      <c r="AL182" s="3"/>
      <c r="AM182" s="4"/>
      <c r="AN182" s="4"/>
      <c r="AO182" s="4"/>
      <c r="AP182" s="4"/>
      <c r="AQ182" s="4"/>
      <c r="AR182" s="61"/>
    </row>
    <row r="183" s="58" customFormat="true" ht="13.8" hidden="false" customHeight="false" outlineLevel="0" collapsed="false">
      <c r="A183" s="75"/>
      <c r="B183" s="57" t="s">
        <v>143</v>
      </c>
      <c r="C183" s="58" t="s">
        <v>330</v>
      </c>
      <c r="D183" s="58" t="s">
        <v>331</v>
      </c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60"/>
      <c r="AL183" s="3"/>
      <c r="AM183" s="4"/>
      <c r="AN183" s="4"/>
      <c r="AO183" s="4"/>
      <c r="AP183" s="4"/>
      <c r="AQ183" s="4"/>
      <c r="AR183" s="61"/>
    </row>
    <row r="184" s="58" customFormat="true" ht="13.8" hidden="false" customHeight="false" outlineLevel="0" collapsed="false">
      <c r="A184" s="75"/>
      <c r="B184" s="57" t="s">
        <v>332</v>
      </c>
      <c r="C184" s="58" t="s">
        <v>333</v>
      </c>
      <c r="D184" s="58" t="s">
        <v>334</v>
      </c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60"/>
      <c r="AL184" s="3"/>
      <c r="AM184" s="4"/>
      <c r="AN184" s="4"/>
      <c r="AO184" s="4"/>
      <c r="AP184" s="4"/>
      <c r="AQ184" s="4"/>
      <c r="AR184" s="61"/>
    </row>
    <row r="185" s="58" customFormat="true" ht="13.8" hidden="false" customHeight="false" outlineLevel="0" collapsed="false">
      <c r="A185" s="75"/>
      <c r="B185" s="57" t="s">
        <v>143</v>
      </c>
      <c r="C185" s="58" t="s">
        <v>335</v>
      </c>
      <c r="D185" s="58" t="s">
        <v>336</v>
      </c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60"/>
      <c r="AL185" s="3"/>
      <c r="AM185" s="4"/>
      <c r="AN185" s="4"/>
      <c r="AO185" s="4"/>
      <c r="AP185" s="4"/>
      <c r="AQ185" s="4"/>
      <c r="AR185" s="61"/>
    </row>
    <row r="186" s="58" customFormat="true" ht="13.8" hidden="false" customHeight="false" outlineLevel="0" collapsed="false">
      <c r="A186" s="75"/>
      <c r="B186" s="57" t="s">
        <v>337</v>
      </c>
      <c r="C186" s="58" t="s">
        <v>338</v>
      </c>
      <c r="D186" s="58" t="s">
        <v>339</v>
      </c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60"/>
      <c r="AL186" s="3"/>
      <c r="AM186" s="4"/>
      <c r="AN186" s="4"/>
      <c r="AO186" s="4"/>
      <c r="AP186" s="4"/>
      <c r="AQ186" s="4"/>
      <c r="AR186" s="61"/>
    </row>
    <row r="187" s="58" customFormat="true" ht="13.8" hidden="false" customHeight="false" outlineLevel="0" collapsed="false">
      <c r="A187" s="75"/>
      <c r="B187" s="57" t="s">
        <v>157</v>
      </c>
      <c r="C187" s="58" t="s">
        <v>340</v>
      </c>
      <c r="D187" s="58" t="s">
        <v>341</v>
      </c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60"/>
      <c r="AL187" s="3"/>
      <c r="AM187" s="4"/>
      <c r="AN187" s="4"/>
      <c r="AO187" s="4"/>
      <c r="AP187" s="4"/>
      <c r="AQ187" s="4"/>
      <c r="AR187" s="61"/>
    </row>
    <row r="188" s="58" customFormat="true" ht="13.8" hidden="false" customHeight="false" outlineLevel="0" collapsed="false">
      <c r="A188" s="75"/>
      <c r="B188" s="57" t="s">
        <v>143</v>
      </c>
      <c r="C188" s="58" t="s">
        <v>342</v>
      </c>
      <c r="D188" s="58" t="s">
        <v>343</v>
      </c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60"/>
      <c r="AL188" s="3"/>
      <c r="AM188" s="4"/>
      <c r="AN188" s="4"/>
      <c r="AO188" s="4"/>
      <c r="AP188" s="4"/>
      <c r="AQ188" s="4"/>
      <c r="AR188" s="61"/>
    </row>
    <row r="189" s="58" customFormat="true" ht="13.8" hidden="false" customHeight="false" outlineLevel="0" collapsed="false">
      <c r="A189" s="75"/>
      <c r="B189" s="57" t="s">
        <v>157</v>
      </c>
      <c r="C189" s="58" t="s">
        <v>344</v>
      </c>
      <c r="D189" s="58" t="s">
        <v>345</v>
      </c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60"/>
      <c r="AL189" s="3"/>
      <c r="AM189" s="4"/>
      <c r="AN189" s="4"/>
      <c r="AO189" s="4"/>
      <c r="AP189" s="4"/>
      <c r="AQ189" s="4"/>
      <c r="AR189" s="61"/>
    </row>
    <row r="190" s="58" customFormat="true" ht="13.8" hidden="false" customHeight="false" outlineLevel="0" collapsed="false">
      <c r="A190" s="75"/>
      <c r="B190" s="57" t="s">
        <v>143</v>
      </c>
      <c r="C190" s="58" t="s">
        <v>346</v>
      </c>
      <c r="D190" s="58" t="s">
        <v>347</v>
      </c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60"/>
      <c r="AL190" s="3"/>
      <c r="AM190" s="4"/>
      <c r="AN190" s="4"/>
      <c r="AO190" s="4"/>
      <c r="AP190" s="4"/>
      <c r="AQ190" s="4"/>
      <c r="AR190" s="61"/>
    </row>
    <row r="191" s="69" customFormat="true" ht="13.8" hidden="false" customHeight="false" outlineLevel="0" collapsed="false">
      <c r="A191" s="75"/>
      <c r="B191" s="76" t="s">
        <v>143</v>
      </c>
      <c r="C191" s="69" t="s">
        <v>348</v>
      </c>
      <c r="D191" s="69" t="s">
        <v>349</v>
      </c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8"/>
      <c r="AL191" s="3"/>
      <c r="AM191" s="4"/>
      <c r="AN191" s="4"/>
      <c r="AO191" s="4"/>
      <c r="AP191" s="4"/>
      <c r="AQ191" s="4"/>
      <c r="AR191" s="68"/>
    </row>
    <row r="192" s="81" customFormat="true" ht="13.8" hidden="false" customHeight="false" outlineLevel="0" collapsed="false">
      <c r="A192" s="79" t="s">
        <v>350</v>
      </c>
      <c r="B192" s="80"/>
      <c r="C192" s="81" t="s">
        <v>351</v>
      </c>
      <c r="D192" s="81" t="s">
        <v>352</v>
      </c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82"/>
      <c r="AL192" s="33"/>
      <c r="AM192" s="34"/>
      <c r="AN192" s="34"/>
      <c r="AO192" s="34"/>
      <c r="AP192" s="34"/>
      <c r="AQ192" s="34"/>
      <c r="AR192" s="83"/>
    </row>
    <row r="193" s="53" customFormat="true" ht="13.8" hidden="false" customHeight="false" outlineLevel="0" collapsed="false">
      <c r="A193" s="75" t="s">
        <v>353</v>
      </c>
      <c r="B193" s="52" t="s">
        <v>69</v>
      </c>
      <c r="C193" s="53" t="s">
        <v>354</v>
      </c>
      <c r="D193" s="53" t="s">
        <v>355</v>
      </c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5"/>
      <c r="AL193" s="3"/>
      <c r="AM193" s="4"/>
      <c r="AN193" s="4"/>
      <c r="AO193" s="4"/>
      <c r="AP193" s="4"/>
      <c r="AQ193" s="4"/>
      <c r="AR193" s="56"/>
    </row>
    <row r="194" s="58" customFormat="true" ht="13.8" hidden="false" customHeight="false" outlineLevel="0" collapsed="false">
      <c r="A194" s="75"/>
      <c r="B194" s="57" t="s">
        <v>233</v>
      </c>
      <c r="C194" s="58" t="s">
        <v>234</v>
      </c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60"/>
      <c r="AL194" s="3"/>
      <c r="AM194" s="4"/>
      <c r="AN194" s="4"/>
      <c r="AO194" s="4"/>
      <c r="AP194" s="4"/>
      <c r="AQ194" s="4"/>
      <c r="AR194" s="61"/>
    </row>
    <row r="195" s="58" customFormat="true" ht="13.8" hidden="false" customHeight="false" outlineLevel="0" collapsed="false">
      <c r="A195" s="75"/>
      <c r="B195" s="57" t="s">
        <v>233</v>
      </c>
      <c r="C195" s="58" t="s">
        <v>235</v>
      </c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60"/>
      <c r="AL195" s="3"/>
      <c r="AM195" s="4"/>
      <c r="AN195" s="4"/>
      <c r="AO195" s="4"/>
      <c r="AP195" s="4"/>
      <c r="AQ195" s="4"/>
      <c r="AR195" s="61"/>
    </row>
    <row r="196" s="69" customFormat="true" ht="13.8" hidden="false" customHeight="false" outlineLevel="0" collapsed="false">
      <c r="A196" s="75"/>
      <c r="B196" s="76" t="s">
        <v>236</v>
      </c>
      <c r="C196" s="69" t="s">
        <v>356</v>
      </c>
      <c r="D196" s="69" t="s">
        <v>357</v>
      </c>
      <c r="E196" s="106" t="str">
        <f aca="false">IF(E195&lt;&gt;"",(ROUND((E195-E194)*10000,2)),"")</f>
        <v/>
      </c>
      <c r="F196" s="106" t="str">
        <f aca="false">IF(F195&lt;&gt;"",(ROUND((F195-F194)*10000,2)),"")</f>
        <v/>
      </c>
      <c r="G196" s="106" t="str">
        <f aca="false">IF(G195&lt;&gt;"",(ROUND((G195-G194)*10000,2)),"")</f>
        <v/>
      </c>
      <c r="H196" s="106" t="str">
        <f aca="false">IF(H195&lt;&gt;"",(ROUND((H195-H194)*10000,2)),"")</f>
        <v/>
      </c>
      <c r="I196" s="106" t="str">
        <f aca="false">IF(I195&lt;&gt;"",(ROUND((I195-I194)*10000,2)),"")</f>
        <v/>
      </c>
      <c r="J196" s="106" t="str">
        <f aca="false">IF(J195&lt;&gt;"",(ROUND((J195-J194)*10000,2)),"")</f>
        <v/>
      </c>
      <c r="K196" s="106" t="str">
        <f aca="false">IF(K195&lt;&gt;"",(ROUND((K195-K194)*10000,2)),"")</f>
        <v/>
      </c>
      <c r="L196" s="106" t="str">
        <f aca="false">IF(L195&lt;&gt;"",(ROUND((L195-L194)*10000,2)),"")</f>
        <v/>
      </c>
      <c r="M196" s="106" t="str">
        <f aca="false">IF(M195&lt;&gt;"",(ROUND((M195-M194)*10000,2)),"")</f>
        <v/>
      </c>
      <c r="N196" s="106" t="str">
        <f aca="false">IF(N195&lt;&gt;"",(ROUND((N195-N194)*10000,2)),"")</f>
        <v/>
      </c>
      <c r="O196" s="106" t="str">
        <f aca="false">IF(O195&lt;&gt;"",(ROUND((O195-O194)*10000,2)),"")</f>
        <v/>
      </c>
      <c r="P196" s="106" t="str">
        <f aca="false">IF(P195&lt;&gt;"",(ROUND((P195-P194)*10000,2)),"")</f>
        <v/>
      </c>
      <c r="Q196" s="106" t="str">
        <f aca="false">IF(Q195&lt;&gt;"",(ROUND((Q195-Q194)*10000,2)),"")</f>
        <v/>
      </c>
      <c r="R196" s="106" t="str">
        <f aca="false">IF(R195&lt;&gt;"",(ROUND((R195-R194)*10000,2)),"")</f>
        <v/>
      </c>
      <c r="S196" s="106" t="str">
        <f aca="false">IF(S195&lt;&gt;"",(ROUND((S195-S194)*10000,2)),"")</f>
        <v/>
      </c>
      <c r="T196" s="106" t="str">
        <f aca="false">IF(T195&lt;&gt;"",(ROUND((T195-T194)*10000,2)),"")</f>
        <v/>
      </c>
      <c r="U196" s="106" t="str">
        <f aca="false">IF(U195&lt;&gt;"",(ROUND((U195-U194)*10000,2)),"")</f>
        <v/>
      </c>
      <c r="V196" s="106" t="str">
        <f aca="false">IF(V195&lt;&gt;"",(ROUND((V195-V194)*10000,2)),"")</f>
        <v/>
      </c>
      <c r="W196" s="106" t="str">
        <f aca="false">IF(W195&lt;&gt;"",(ROUND((W195-W194)*10000,2)),"")</f>
        <v/>
      </c>
      <c r="X196" s="106" t="str">
        <f aca="false">IF(X195&lt;&gt;"",(ROUND((X195-X194)*10000,2)),"")</f>
        <v/>
      </c>
      <c r="Y196" s="106" t="str">
        <f aca="false">IF(Y195&lt;&gt;"",(ROUND((Y195-Y194)*10000,2)),"")</f>
        <v/>
      </c>
      <c r="Z196" s="106" t="str">
        <f aca="false">IF(Z195&lt;&gt;"",(ROUND((Z195-Z194)*10000,2)),"")</f>
        <v/>
      </c>
      <c r="AA196" s="106" t="str">
        <f aca="false">IF(AA195&lt;&gt;"",(ROUND((AA195-AA194)*10000,2)),"")</f>
        <v/>
      </c>
      <c r="AB196" s="106" t="str">
        <f aca="false">IF(AB195&lt;&gt;"",(ROUND((AB195-AB194)*10000,2)),"")</f>
        <v/>
      </c>
      <c r="AC196" s="106" t="str">
        <f aca="false">IF(AC195&lt;&gt;"",(ROUND((AC195-AC194)*10000,2)),"")</f>
        <v/>
      </c>
      <c r="AD196" s="106" t="str">
        <f aca="false">IF(AD195&lt;&gt;"",(ROUND((AD195-AD194)*10000,2)),"")</f>
        <v/>
      </c>
      <c r="AE196" s="106" t="str">
        <f aca="false">IF(AE195&lt;&gt;"",(ROUND((AE195-AE194)*10000,2)),"")</f>
        <v/>
      </c>
      <c r="AF196" s="106" t="str">
        <f aca="false">IF(AF195&lt;&gt;"",(ROUND((AF195-AF194)*10000,2)),"")</f>
        <v/>
      </c>
      <c r="AG196" s="106" t="str">
        <f aca="false">IF(AG195&lt;&gt;"",(ROUND((AG195-AG194)*10000,2)),"")</f>
        <v/>
      </c>
      <c r="AH196" s="106" t="str">
        <f aca="false">IF(AH195&lt;&gt;"",(ROUND((AH195-AH194)*10000,2)),"")</f>
        <v/>
      </c>
      <c r="AI196" s="106" t="str">
        <f aca="false">IF(AI195&lt;&gt;"",(ROUND((AI195-AI194)*10000,2)),"")</f>
        <v/>
      </c>
      <c r="AJ196" s="106" t="str">
        <f aca="false">IF(AJ195&lt;&gt;"",(ROUND((AJ195-AJ194)*10000,2)),"")</f>
        <v/>
      </c>
      <c r="AK196" s="106" t="str">
        <f aca="false">IF(AK195&lt;&gt;"",(ROUND((AK195-AK194)*10000,2)),"")</f>
        <v/>
      </c>
      <c r="AL196" s="3"/>
      <c r="AM196" s="4"/>
      <c r="AN196" s="4"/>
      <c r="AO196" s="4"/>
      <c r="AP196" s="4"/>
      <c r="AQ196" s="4"/>
      <c r="AR196" s="68"/>
    </row>
    <row r="197" s="30" customFormat="true" ht="13.8" hidden="false" customHeight="false" outlineLevel="0" collapsed="false">
      <c r="A197" s="31" t="s">
        <v>358</v>
      </c>
      <c r="B197" s="29"/>
      <c r="C197" s="30" t="s">
        <v>359</v>
      </c>
      <c r="D197" s="30" t="s">
        <v>360</v>
      </c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90"/>
      <c r="AL197" s="33"/>
      <c r="AM197" s="34"/>
      <c r="AN197" s="34"/>
      <c r="AO197" s="34"/>
      <c r="AP197" s="34"/>
      <c r="AQ197" s="34"/>
      <c r="AR197" s="35"/>
    </row>
    <row r="198" s="48" customFormat="true" ht="13.8" hidden="false" customHeight="false" outlineLevel="0" collapsed="false">
      <c r="A198" s="31"/>
      <c r="B198" s="91"/>
      <c r="C198" s="48" t="s">
        <v>361</v>
      </c>
      <c r="D198" s="48" t="s">
        <v>362</v>
      </c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3"/>
      <c r="AL198" s="33"/>
      <c r="AM198" s="34"/>
      <c r="AN198" s="34"/>
      <c r="AO198" s="34"/>
      <c r="AP198" s="34"/>
      <c r="AQ198" s="34"/>
      <c r="AR198" s="50"/>
    </row>
    <row r="199" s="98" customFormat="true" ht="13.8" hidden="false" customHeight="false" outlineLevel="0" collapsed="false">
      <c r="A199" s="75" t="s">
        <v>363</v>
      </c>
      <c r="B199" s="97" t="s">
        <v>364</v>
      </c>
      <c r="C199" s="98" t="s">
        <v>365</v>
      </c>
      <c r="D199" s="98" t="s">
        <v>366</v>
      </c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99"/>
      <c r="AL199" s="3"/>
      <c r="AM199" s="4"/>
      <c r="AN199" s="4"/>
      <c r="AO199" s="4"/>
      <c r="AP199" s="4"/>
      <c r="AQ199" s="4"/>
      <c r="AR199" s="100"/>
    </row>
    <row r="200" s="81" customFormat="true" ht="13.8" hidden="false" customHeight="false" outlineLevel="0" collapsed="false">
      <c r="A200" s="79" t="s">
        <v>367</v>
      </c>
      <c r="B200" s="80" t="s">
        <v>364</v>
      </c>
      <c r="C200" s="81" t="s">
        <v>367</v>
      </c>
      <c r="D200" s="81" t="s">
        <v>368</v>
      </c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82"/>
      <c r="AL200" s="33"/>
      <c r="AM200" s="34"/>
      <c r="AN200" s="34"/>
      <c r="AO200" s="34"/>
      <c r="AP200" s="34"/>
      <c r="AQ200" s="34"/>
      <c r="AR200" s="83"/>
    </row>
    <row r="201" s="53" customFormat="true" ht="13.8" hidden="false" customHeight="false" outlineLevel="0" collapsed="false">
      <c r="A201" s="75" t="s">
        <v>369</v>
      </c>
      <c r="B201" s="52" t="s">
        <v>370</v>
      </c>
      <c r="C201" s="53" t="s">
        <v>371</v>
      </c>
      <c r="D201" s="53" t="s">
        <v>372</v>
      </c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5"/>
      <c r="AL201" s="3"/>
      <c r="AM201" s="4"/>
      <c r="AN201" s="4"/>
      <c r="AO201" s="4"/>
      <c r="AP201" s="4"/>
      <c r="AQ201" s="4"/>
      <c r="AR201" s="56"/>
    </row>
    <row r="202" s="58" customFormat="true" ht="13.8" hidden="false" customHeight="false" outlineLevel="0" collapsed="false">
      <c r="A202" s="75"/>
      <c r="B202" s="57" t="s">
        <v>370</v>
      </c>
      <c r="C202" s="58" t="s">
        <v>373</v>
      </c>
      <c r="D202" s="58" t="s">
        <v>374</v>
      </c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60"/>
      <c r="AL202" s="3"/>
      <c r="AM202" s="4"/>
      <c r="AN202" s="4"/>
      <c r="AO202" s="4"/>
      <c r="AP202" s="4"/>
      <c r="AQ202" s="4"/>
      <c r="AR202" s="61"/>
    </row>
    <row r="203" s="69" customFormat="true" ht="13.8" hidden="false" customHeight="false" outlineLevel="0" collapsed="false">
      <c r="A203" s="75"/>
      <c r="B203" s="76"/>
      <c r="C203" s="69" t="s">
        <v>375</v>
      </c>
      <c r="D203" s="69" t="s">
        <v>376</v>
      </c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8"/>
      <c r="AL203" s="3"/>
      <c r="AM203" s="4"/>
      <c r="AN203" s="4"/>
      <c r="AO203" s="4"/>
      <c r="AP203" s="4"/>
      <c r="AQ203" s="4"/>
      <c r="AR203" s="68"/>
    </row>
    <row r="204" s="81" customFormat="true" ht="13.8" hidden="false" customHeight="false" outlineLevel="0" collapsed="false">
      <c r="A204" s="79" t="s">
        <v>377</v>
      </c>
      <c r="B204" s="80" t="s">
        <v>378</v>
      </c>
      <c r="C204" s="81" t="s">
        <v>377</v>
      </c>
      <c r="D204" s="81" t="s">
        <v>379</v>
      </c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82"/>
      <c r="AL204" s="33"/>
      <c r="AM204" s="34"/>
      <c r="AN204" s="34"/>
      <c r="AO204" s="34"/>
      <c r="AP204" s="34"/>
      <c r="AQ204" s="34"/>
      <c r="AR204" s="83"/>
    </row>
    <row r="205" s="98" customFormat="true" ht="13.8" hidden="false" customHeight="false" outlineLevel="0" collapsed="false">
      <c r="A205" s="75" t="s">
        <v>380</v>
      </c>
      <c r="B205" s="97" t="s">
        <v>381</v>
      </c>
      <c r="C205" s="98" t="s">
        <v>380</v>
      </c>
      <c r="D205" s="98" t="s">
        <v>382</v>
      </c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99"/>
      <c r="AL205" s="3"/>
      <c r="AM205" s="4"/>
      <c r="AN205" s="4"/>
      <c r="AO205" s="4"/>
      <c r="AP205" s="4"/>
      <c r="AQ205" s="4"/>
      <c r="AR205" s="100"/>
    </row>
    <row r="206" s="81" customFormat="true" ht="13.8" hidden="false" customHeight="false" outlineLevel="0" collapsed="false">
      <c r="A206" s="79" t="s">
        <v>383</v>
      </c>
      <c r="B206" s="80" t="s">
        <v>384</v>
      </c>
      <c r="C206" s="81" t="s">
        <v>146</v>
      </c>
      <c r="D206" s="81" t="s">
        <v>385</v>
      </c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82"/>
      <c r="AL206" s="33"/>
      <c r="AM206" s="34"/>
      <c r="AN206" s="34"/>
      <c r="AO206" s="34"/>
      <c r="AP206" s="34"/>
      <c r="AQ206" s="34"/>
      <c r="AR206" s="83"/>
    </row>
    <row r="207" s="53" customFormat="true" ht="13.8" hidden="false" customHeight="false" outlineLevel="0" collapsed="false">
      <c r="A207" s="75" t="s">
        <v>386</v>
      </c>
      <c r="B207" s="52" t="s">
        <v>387</v>
      </c>
      <c r="C207" s="53" t="s">
        <v>388</v>
      </c>
      <c r="D207" s="53" t="s">
        <v>389</v>
      </c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5"/>
      <c r="AL207" s="3"/>
      <c r="AM207" s="4"/>
      <c r="AN207" s="4"/>
      <c r="AO207" s="4"/>
      <c r="AP207" s="4"/>
      <c r="AQ207" s="4"/>
      <c r="AR207" s="56"/>
    </row>
    <row r="208" s="58" customFormat="true" ht="13.8" hidden="false" customHeight="false" outlineLevel="0" collapsed="false">
      <c r="A208" s="75"/>
      <c r="B208" s="57" t="s">
        <v>390</v>
      </c>
      <c r="C208" s="58" t="s">
        <v>391</v>
      </c>
      <c r="D208" s="58" t="s">
        <v>392</v>
      </c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60"/>
      <c r="AL208" s="3"/>
      <c r="AM208" s="4"/>
      <c r="AN208" s="4"/>
      <c r="AO208" s="4"/>
      <c r="AP208" s="4"/>
      <c r="AQ208" s="4"/>
      <c r="AR208" s="61"/>
    </row>
    <row r="209" s="69" customFormat="true" ht="13.8" hidden="false" customHeight="false" outlineLevel="0" collapsed="false">
      <c r="A209" s="75"/>
      <c r="B209" s="76" t="s">
        <v>143</v>
      </c>
      <c r="C209" s="69" t="s">
        <v>386</v>
      </c>
      <c r="D209" s="69" t="s">
        <v>393</v>
      </c>
      <c r="E209" s="101" t="str">
        <f aca="false">IF(E208&lt;&gt;"",((E208/E207)*100),"")</f>
        <v/>
      </c>
      <c r="F209" s="101" t="str">
        <f aca="false">IF(F208&lt;&gt;"",((F208/F207)*100),"")</f>
        <v/>
      </c>
      <c r="G209" s="101" t="str">
        <f aca="false">IF(G208&lt;&gt;"",((G208/G207)*100),"")</f>
        <v/>
      </c>
      <c r="H209" s="101" t="str">
        <f aca="false">IF(H208&lt;&gt;"",((H208/H207)*100),"")</f>
        <v/>
      </c>
      <c r="I209" s="101" t="str">
        <f aca="false">IF(I208&lt;&gt;"",((I208/I207)*100),"")</f>
        <v/>
      </c>
      <c r="J209" s="101" t="str">
        <f aca="false">IF(J208&lt;&gt;"",((J208/J207)*100),"")</f>
        <v/>
      </c>
      <c r="K209" s="101" t="str">
        <f aca="false">IF(K208&lt;&gt;"",((K208/K207)*100),"")</f>
        <v/>
      </c>
      <c r="L209" s="101" t="str">
        <f aca="false">IF(L208&lt;&gt;"",((L208/L207)*100),"")</f>
        <v/>
      </c>
      <c r="M209" s="101" t="str">
        <f aca="false">IF(M208&lt;&gt;"",((M208/M207)*100),"")</f>
        <v/>
      </c>
      <c r="N209" s="101" t="str">
        <f aca="false">IF(N208&lt;&gt;"",((N208/N207)*100),"")</f>
        <v/>
      </c>
      <c r="O209" s="101" t="str">
        <f aca="false">IF(O208&lt;&gt;"",((O208/O207)*100),"")</f>
        <v/>
      </c>
      <c r="P209" s="101" t="str">
        <f aca="false">IF(P208&lt;&gt;"",((P208/P207)*100),"")</f>
        <v/>
      </c>
      <c r="Q209" s="101" t="str">
        <f aca="false">IF(Q208&lt;&gt;"",((Q208/Q207)*100),"")</f>
        <v/>
      </c>
      <c r="R209" s="101" t="str">
        <f aca="false">IF(R208&lt;&gt;"",((R208/R207)*100),"")</f>
        <v/>
      </c>
      <c r="S209" s="101" t="str">
        <f aca="false">IF(S208&lt;&gt;"",((S208/S207)*100),"")</f>
        <v/>
      </c>
      <c r="T209" s="101" t="str">
        <f aca="false">IF(T208&lt;&gt;"",((T208/T207)*100),"")</f>
        <v/>
      </c>
      <c r="U209" s="101" t="str">
        <f aca="false">IF(U208&lt;&gt;"",((U208/U207)*100),"")</f>
        <v/>
      </c>
      <c r="V209" s="101" t="str">
        <f aca="false">IF(V208&lt;&gt;"",((V208/V207)*100),"")</f>
        <v/>
      </c>
      <c r="W209" s="101" t="str">
        <f aca="false">IF(W208&lt;&gt;"",((W208/W207)*100),"")</f>
        <v/>
      </c>
      <c r="X209" s="101" t="str">
        <f aca="false">IF(X208&lt;&gt;"",((X208/X207)*100),"")</f>
        <v/>
      </c>
      <c r="Y209" s="101" t="str">
        <f aca="false">IF(Y208&lt;&gt;"",((Y208/Y207)*100),"")</f>
        <v/>
      </c>
      <c r="Z209" s="101" t="str">
        <f aca="false">IF(Z208&lt;&gt;"",((Z208/Z207)*100),"")</f>
        <v/>
      </c>
      <c r="AA209" s="101" t="str">
        <f aca="false">IF(AA208&lt;&gt;"",((AA208/AA207)*100),"")</f>
        <v/>
      </c>
      <c r="AB209" s="101" t="str">
        <f aca="false">IF(AB208&lt;&gt;"",((AB208/AB207)*100),"")</f>
        <v/>
      </c>
      <c r="AC209" s="101" t="str">
        <f aca="false">IF(AC208&lt;&gt;"",((AC208/AC207)*100),"")</f>
        <v/>
      </c>
      <c r="AD209" s="101" t="str">
        <f aca="false">IF(AD208&lt;&gt;"",((AD208/AD207)*100),"")</f>
        <v/>
      </c>
      <c r="AE209" s="101" t="str">
        <f aca="false">IF(AE208&lt;&gt;"",((AE208/AE207)*100),"")</f>
        <v/>
      </c>
      <c r="AF209" s="101" t="str">
        <f aca="false">IF(AF208&lt;&gt;"",((AF208/AF207)*100),"")</f>
        <v/>
      </c>
      <c r="AG209" s="101" t="str">
        <f aca="false">IF(AG208&lt;&gt;"",((AG208/AG207)*100),"")</f>
        <v/>
      </c>
      <c r="AH209" s="101" t="str">
        <f aca="false">IF(AH208&lt;&gt;"",((AH208/AH207)*100),"")</f>
        <v/>
      </c>
      <c r="AI209" s="101" t="str">
        <f aca="false">IF(AI208&lt;&gt;"",((AI208/AI207)*100),"")</f>
        <v/>
      </c>
      <c r="AJ209" s="101" t="str">
        <f aca="false">IF(AJ208&lt;&gt;"",((AJ208/AJ207)*100),"")</f>
        <v/>
      </c>
      <c r="AK209" s="102" t="str">
        <f aca="false">IF(AK208&lt;&gt;"",((AK208/AK207)*100),"")</f>
        <v/>
      </c>
      <c r="AL209" s="3"/>
      <c r="AM209" s="4"/>
      <c r="AN209" s="4"/>
      <c r="AO209" s="4"/>
      <c r="AP209" s="4"/>
      <c r="AQ209" s="4"/>
      <c r="AR209" s="68"/>
    </row>
    <row r="210" s="30" customFormat="true" ht="13.8" hidden="false" customHeight="false" outlineLevel="0" collapsed="false">
      <c r="A210" s="31" t="s">
        <v>394</v>
      </c>
      <c r="B210" s="29" t="s">
        <v>69</v>
      </c>
      <c r="C210" s="30" t="s">
        <v>395</v>
      </c>
      <c r="D210" s="30" t="s">
        <v>396</v>
      </c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90"/>
      <c r="AL210" s="33"/>
      <c r="AM210" s="34"/>
      <c r="AN210" s="34"/>
      <c r="AO210" s="34"/>
      <c r="AP210" s="34"/>
      <c r="AQ210" s="34"/>
      <c r="AR210" s="35"/>
    </row>
    <row r="211" s="37" customFormat="true" ht="13.8" hidden="false" customHeight="false" outlineLevel="0" collapsed="false">
      <c r="A211" s="31"/>
      <c r="B211" s="36" t="s">
        <v>69</v>
      </c>
      <c r="C211" s="37" t="s">
        <v>397</v>
      </c>
      <c r="D211" s="37" t="s">
        <v>398</v>
      </c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9"/>
      <c r="AL211" s="33"/>
      <c r="AM211" s="34"/>
      <c r="AN211" s="34"/>
      <c r="AO211" s="34"/>
      <c r="AP211" s="34"/>
      <c r="AQ211" s="34"/>
      <c r="AR211" s="40"/>
    </row>
    <row r="212" s="37" customFormat="true" ht="13.8" hidden="false" customHeight="false" outlineLevel="0" collapsed="false">
      <c r="A212" s="31"/>
      <c r="B212" s="36" t="s">
        <v>399</v>
      </c>
      <c r="C212" s="37" t="s">
        <v>400</v>
      </c>
      <c r="D212" s="37" t="s">
        <v>401</v>
      </c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9"/>
      <c r="AL212" s="33"/>
      <c r="AM212" s="34"/>
      <c r="AN212" s="34"/>
      <c r="AO212" s="34"/>
      <c r="AP212" s="34"/>
      <c r="AQ212" s="34"/>
      <c r="AR212" s="40"/>
    </row>
    <row r="213" s="37" customFormat="true" ht="13.8" hidden="false" customHeight="false" outlineLevel="0" collapsed="false">
      <c r="A213" s="31"/>
      <c r="B213" s="36" t="s">
        <v>399</v>
      </c>
      <c r="C213" s="37" t="s">
        <v>402</v>
      </c>
      <c r="D213" s="37" t="s">
        <v>403</v>
      </c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9"/>
      <c r="AL213" s="33"/>
      <c r="AM213" s="34"/>
      <c r="AN213" s="34"/>
      <c r="AO213" s="34"/>
      <c r="AP213" s="34"/>
      <c r="AQ213" s="34"/>
      <c r="AR213" s="40"/>
    </row>
    <row r="214" s="48" customFormat="true" ht="13.8" hidden="false" customHeight="false" outlineLevel="0" collapsed="false">
      <c r="A214" s="31"/>
      <c r="B214" s="91" t="s">
        <v>399</v>
      </c>
      <c r="C214" s="48" t="s">
        <v>404</v>
      </c>
      <c r="D214" s="48" t="s">
        <v>405</v>
      </c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3"/>
      <c r="AL214" s="33"/>
      <c r="AM214" s="34"/>
      <c r="AN214" s="34"/>
      <c r="AO214" s="34"/>
      <c r="AP214" s="34"/>
      <c r="AQ214" s="34"/>
      <c r="AR214" s="50"/>
    </row>
    <row r="215" s="98" customFormat="true" ht="13.8" hidden="false" customHeight="false" outlineLevel="0" collapsed="false">
      <c r="A215" s="75" t="s">
        <v>406</v>
      </c>
      <c r="B215" s="97" t="s">
        <v>407</v>
      </c>
      <c r="C215" s="98" t="s">
        <v>406</v>
      </c>
      <c r="D215" s="98" t="s">
        <v>408</v>
      </c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  <c r="AK215" s="99"/>
      <c r="AL215" s="3"/>
      <c r="AM215" s="4"/>
      <c r="AN215" s="4"/>
      <c r="AO215" s="4"/>
      <c r="AP215" s="4"/>
      <c r="AQ215" s="4"/>
      <c r="AR215" s="100"/>
    </row>
    <row r="216" s="81" customFormat="true" ht="13.8" hidden="false" customHeight="false" outlineLevel="0" collapsed="false">
      <c r="A216" s="79" t="s">
        <v>409</v>
      </c>
      <c r="B216" s="80" t="s">
        <v>410</v>
      </c>
      <c r="C216" s="81" t="s">
        <v>409</v>
      </c>
      <c r="D216" s="81" t="s">
        <v>411</v>
      </c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82"/>
      <c r="AL216" s="33"/>
      <c r="AM216" s="34"/>
      <c r="AN216" s="34"/>
      <c r="AO216" s="34"/>
      <c r="AP216" s="34"/>
      <c r="AQ216" s="34"/>
      <c r="AR216" s="83"/>
    </row>
    <row r="217" s="53" customFormat="true" ht="13.8" hidden="false" customHeight="false" outlineLevel="0" collapsed="false">
      <c r="A217" s="75" t="s">
        <v>412</v>
      </c>
      <c r="B217" s="52" t="s">
        <v>413</v>
      </c>
      <c r="C217" s="53" t="s">
        <v>414</v>
      </c>
      <c r="D217" s="53" t="s">
        <v>415</v>
      </c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5"/>
      <c r="AL217" s="3"/>
      <c r="AM217" s="4"/>
      <c r="AN217" s="4"/>
      <c r="AO217" s="4"/>
      <c r="AP217" s="4"/>
      <c r="AQ217" s="4"/>
      <c r="AR217" s="56"/>
    </row>
    <row r="218" s="58" customFormat="true" ht="13.8" hidden="false" customHeight="false" outlineLevel="0" collapsed="false">
      <c r="A218" s="75"/>
      <c r="B218" s="57" t="s">
        <v>387</v>
      </c>
      <c r="C218" s="58" t="s">
        <v>409</v>
      </c>
      <c r="D218" s="58" t="s">
        <v>416</v>
      </c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60"/>
      <c r="AL218" s="3"/>
      <c r="AM218" s="4"/>
      <c r="AN218" s="4"/>
      <c r="AO218" s="4"/>
      <c r="AP218" s="4"/>
      <c r="AQ218" s="4"/>
      <c r="AR218" s="61"/>
    </row>
    <row r="219" s="69" customFormat="true" ht="13.8" hidden="false" customHeight="false" outlineLevel="0" collapsed="false">
      <c r="A219" s="75"/>
      <c r="B219" s="76" t="s">
        <v>410</v>
      </c>
      <c r="C219" s="69" t="s">
        <v>412</v>
      </c>
      <c r="D219" s="69" t="s">
        <v>417</v>
      </c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8"/>
      <c r="AL219" s="3"/>
      <c r="AM219" s="4"/>
      <c r="AN219" s="4"/>
      <c r="AO219" s="4"/>
      <c r="AP219" s="4"/>
      <c r="AQ219" s="4"/>
      <c r="AR219" s="68"/>
    </row>
    <row r="220" s="30" customFormat="true" ht="13.8" hidden="false" customHeight="false" outlineLevel="0" collapsed="false">
      <c r="A220" s="31" t="s">
        <v>418</v>
      </c>
      <c r="B220" s="29" t="s">
        <v>419</v>
      </c>
      <c r="C220" s="30" t="s">
        <v>418</v>
      </c>
      <c r="D220" s="30" t="s">
        <v>420</v>
      </c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90"/>
      <c r="AL220" s="33"/>
      <c r="AM220" s="34"/>
      <c r="AN220" s="34"/>
      <c r="AO220" s="34"/>
      <c r="AP220" s="34"/>
      <c r="AQ220" s="34"/>
      <c r="AR220" s="35"/>
    </row>
    <row r="221" s="48" customFormat="true" ht="13.8" hidden="false" customHeight="false" outlineLevel="0" collapsed="false">
      <c r="A221" s="31"/>
      <c r="B221" s="91" t="s">
        <v>421</v>
      </c>
      <c r="C221" s="48" t="s">
        <v>418</v>
      </c>
      <c r="D221" s="48" t="s">
        <v>422</v>
      </c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3"/>
      <c r="AL221" s="33"/>
      <c r="AM221" s="34"/>
      <c r="AN221" s="34"/>
      <c r="AO221" s="34"/>
      <c r="AP221" s="34"/>
      <c r="AQ221" s="34"/>
      <c r="AR221" s="50"/>
    </row>
    <row r="222" s="98" customFormat="true" ht="13.8" hidden="false" customHeight="false" outlineLevel="0" collapsed="false">
      <c r="A222" s="75" t="s">
        <v>423</v>
      </c>
      <c r="B222" s="97" t="s">
        <v>143</v>
      </c>
      <c r="C222" s="98" t="s">
        <v>423</v>
      </c>
      <c r="D222" s="98" t="s">
        <v>424</v>
      </c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99"/>
      <c r="AL222" s="3"/>
      <c r="AM222" s="4"/>
      <c r="AN222" s="4"/>
      <c r="AO222" s="4"/>
      <c r="AP222" s="4"/>
      <c r="AQ222" s="4"/>
      <c r="AR222" s="100"/>
    </row>
    <row r="223" s="30" customFormat="true" ht="13.8" hidden="false" customHeight="false" outlineLevel="0" collapsed="false">
      <c r="A223" s="31" t="s">
        <v>425</v>
      </c>
      <c r="B223" s="29" t="s">
        <v>364</v>
      </c>
      <c r="C223" s="30" t="s">
        <v>426</v>
      </c>
      <c r="D223" s="30" t="s">
        <v>427</v>
      </c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90"/>
      <c r="AL223" s="33"/>
      <c r="AM223" s="34"/>
      <c r="AN223" s="34"/>
      <c r="AO223" s="34"/>
      <c r="AP223" s="34"/>
      <c r="AQ223" s="34"/>
      <c r="AR223" s="35"/>
    </row>
    <row r="224" s="37" customFormat="true" ht="13.8" hidden="false" customHeight="false" outlineLevel="0" collapsed="false">
      <c r="A224" s="31"/>
      <c r="B224" s="36" t="s">
        <v>364</v>
      </c>
      <c r="C224" s="37" t="s">
        <v>428</v>
      </c>
      <c r="D224" s="37" t="s">
        <v>429</v>
      </c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9"/>
      <c r="AL224" s="33"/>
      <c r="AM224" s="34"/>
      <c r="AN224" s="34"/>
      <c r="AO224" s="34"/>
      <c r="AP224" s="34"/>
      <c r="AQ224" s="34"/>
      <c r="AR224" s="40"/>
    </row>
    <row r="225" s="48" customFormat="true" ht="13.8" hidden="false" customHeight="false" outlineLevel="0" collapsed="false">
      <c r="A225" s="31"/>
      <c r="B225" s="91" t="s">
        <v>364</v>
      </c>
      <c r="C225" s="48" t="s">
        <v>430</v>
      </c>
      <c r="D225" s="48" t="s">
        <v>431</v>
      </c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3"/>
      <c r="AL225" s="33"/>
      <c r="AM225" s="34"/>
      <c r="AN225" s="34"/>
      <c r="AO225" s="34"/>
      <c r="AP225" s="34"/>
      <c r="AQ225" s="34"/>
      <c r="AR225" s="50"/>
    </row>
    <row r="226" s="53" customFormat="true" ht="13.8" hidden="false" customHeight="false" outlineLevel="0" collapsed="false">
      <c r="A226" s="75" t="s">
        <v>432</v>
      </c>
      <c r="B226" s="52" t="s">
        <v>433</v>
      </c>
      <c r="C226" s="53" t="s">
        <v>434</v>
      </c>
      <c r="D226" s="53" t="s">
        <v>435</v>
      </c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5"/>
      <c r="AL226" s="3"/>
      <c r="AM226" s="4"/>
      <c r="AN226" s="4"/>
      <c r="AO226" s="4"/>
      <c r="AP226" s="4"/>
      <c r="AQ226" s="4"/>
      <c r="AR226" s="56"/>
    </row>
    <row r="227" s="108" customFormat="true" ht="13.8" hidden="false" customHeight="false" outlineLevel="0" collapsed="false">
      <c r="A227" s="75"/>
      <c r="B227" s="107" t="s">
        <v>436</v>
      </c>
      <c r="C227" s="108" t="s">
        <v>437</v>
      </c>
      <c r="D227" s="108" t="s">
        <v>438</v>
      </c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09"/>
      <c r="AK227" s="110"/>
      <c r="AL227" s="3"/>
      <c r="AM227" s="4"/>
      <c r="AN227" s="4"/>
      <c r="AO227" s="4"/>
      <c r="AP227" s="4"/>
      <c r="AQ227" s="4"/>
      <c r="AR227" s="111"/>
    </row>
    <row r="228" s="69" customFormat="true" ht="13.8" hidden="false" customHeight="false" outlineLevel="0" collapsed="false">
      <c r="A228" s="75"/>
      <c r="B228" s="76" t="s">
        <v>439</v>
      </c>
      <c r="C228" s="69" t="s">
        <v>440</v>
      </c>
      <c r="D228" s="69" t="s">
        <v>441</v>
      </c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8"/>
      <c r="AL228" s="3"/>
      <c r="AM228" s="4"/>
      <c r="AN228" s="4"/>
      <c r="AO228" s="4"/>
      <c r="AP228" s="4"/>
      <c r="AQ228" s="4"/>
      <c r="AR228" s="68"/>
    </row>
    <row r="229" s="30" customFormat="true" ht="13.8" hidden="false" customHeight="false" outlineLevel="0" collapsed="false">
      <c r="A229" s="31" t="s">
        <v>442</v>
      </c>
      <c r="B229" s="29" t="s">
        <v>443</v>
      </c>
      <c r="C229" s="30" t="s">
        <v>444</v>
      </c>
      <c r="D229" s="30" t="s">
        <v>445</v>
      </c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90"/>
      <c r="AL229" s="33"/>
      <c r="AM229" s="34"/>
      <c r="AN229" s="34"/>
      <c r="AO229" s="34"/>
      <c r="AP229" s="34"/>
      <c r="AQ229" s="34"/>
      <c r="AR229" s="35"/>
    </row>
    <row r="230" s="48" customFormat="true" ht="13.8" hidden="false" customHeight="false" outlineLevel="0" collapsed="false">
      <c r="A230" s="31"/>
      <c r="B230" s="91" t="s">
        <v>443</v>
      </c>
      <c r="C230" s="48" t="s">
        <v>446</v>
      </c>
      <c r="D230" s="48" t="s">
        <v>447</v>
      </c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3"/>
      <c r="AL230" s="33"/>
      <c r="AM230" s="34"/>
      <c r="AN230" s="34"/>
      <c r="AO230" s="34"/>
      <c r="AP230" s="34"/>
      <c r="AQ230" s="34"/>
      <c r="AR230" s="50"/>
    </row>
    <row r="231" s="98" customFormat="true" ht="13.8" hidden="false" customHeight="false" outlineLevel="0" collapsed="false">
      <c r="A231" s="75" t="s">
        <v>448</v>
      </c>
      <c r="B231" s="97" t="s">
        <v>433</v>
      </c>
      <c r="C231" s="98" t="s">
        <v>448</v>
      </c>
      <c r="D231" s="98" t="s">
        <v>449</v>
      </c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  <c r="AK231" s="99"/>
      <c r="AL231" s="3"/>
      <c r="AM231" s="4"/>
      <c r="AN231" s="4"/>
      <c r="AO231" s="4"/>
      <c r="AP231" s="4"/>
      <c r="AQ231" s="4"/>
      <c r="AR231" s="100"/>
    </row>
    <row r="232" s="81" customFormat="true" ht="13.8" hidden="false" customHeight="false" outlineLevel="0" collapsed="false">
      <c r="A232" s="79" t="s">
        <v>450</v>
      </c>
      <c r="B232" s="80" t="s">
        <v>451</v>
      </c>
      <c r="C232" s="81" t="s">
        <v>450</v>
      </c>
      <c r="D232" s="81" t="s">
        <v>452</v>
      </c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82"/>
      <c r="AL232" s="33"/>
      <c r="AM232" s="34"/>
      <c r="AN232" s="34"/>
      <c r="AO232" s="34"/>
      <c r="AP232" s="34"/>
      <c r="AQ232" s="34"/>
      <c r="AR232" s="83"/>
    </row>
    <row r="233" s="98" customFormat="true" ht="13.8" hidden="false" customHeight="false" outlineLevel="0" collapsed="false">
      <c r="A233" s="75" t="s">
        <v>453</v>
      </c>
      <c r="B233" s="97" t="s">
        <v>364</v>
      </c>
      <c r="C233" s="98" t="s">
        <v>453</v>
      </c>
      <c r="D233" s="98" t="s">
        <v>454</v>
      </c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/>
      <c r="AJ233" s="75"/>
      <c r="AK233" s="99"/>
      <c r="AL233" s="3"/>
      <c r="AM233" s="4"/>
      <c r="AN233" s="4"/>
      <c r="AO233" s="4"/>
      <c r="AP233" s="4"/>
      <c r="AQ233" s="4"/>
      <c r="AR233" s="100"/>
    </row>
    <row r="234" s="30" customFormat="true" ht="13.8" hidden="false" customHeight="false" outlineLevel="0" collapsed="false">
      <c r="A234" s="31" t="s">
        <v>455</v>
      </c>
      <c r="B234" s="29" t="s">
        <v>456</v>
      </c>
      <c r="C234" s="30" t="s">
        <v>457</v>
      </c>
      <c r="D234" s="30" t="s">
        <v>458</v>
      </c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90"/>
      <c r="AL234" s="33"/>
      <c r="AM234" s="34"/>
      <c r="AN234" s="34"/>
      <c r="AO234" s="34"/>
      <c r="AP234" s="34"/>
      <c r="AQ234" s="34"/>
      <c r="AR234" s="35"/>
    </row>
    <row r="235" s="48" customFormat="true" ht="13.8" hidden="false" customHeight="false" outlineLevel="0" collapsed="false">
      <c r="A235" s="31"/>
      <c r="B235" s="91" t="s">
        <v>456</v>
      </c>
      <c r="C235" s="48" t="s">
        <v>459</v>
      </c>
      <c r="D235" s="48" t="s">
        <v>460</v>
      </c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3"/>
      <c r="AL235" s="33"/>
      <c r="AM235" s="34"/>
      <c r="AN235" s="34"/>
      <c r="AO235" s="34"/>
      <c r="AP235" s="34"/>
      <c r="AQ235" s="34"/>
      <c r="AR235" s="50"/>
    </row>
    <row r="236" s="98" customFormat="true" ht="13.8" hidden="false" customHeight="false" outlineLevel="0" collapsed="false">
      <c r="A236" s="75" t="s">
        <v>461</v>
      </c>
      <c r="B236" s="97" t="s">
        <v>462</v>
      </c>
      <c r="C236" s="98" t="s">
        <v>461</v>
      </c>
      <c r="D236" s="98" t="s">
        <v>463</v>
      </c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99"/>
      <c r="AL236" s="3"/>
      <c r="AM236" s="4"/>
      <c r="AN236" s="4"/>
      <c r="AO236" s="4"/>
      <c r="AP236" s="4"/>
      <c r="AQ236" s="4"/>
      <c r="AR236" s="100"/>
    </row>
    <row r="237" s="81" customFormat="true" ht="13.8" hidden="false" customHeight="false" outlineLevel="0" collapsed="false">
      <c r="A237" s="79" t="s">
        <v>464</v>
      </c>
      <c r="B237" s="80" t="s">
        <v>465</v>
      </c>
      <c r="C237" s="81" t="s">
        <v>464</v>
      </c>
      <c r="D237" s="81" t="s">
        <v>466</v>
      </c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82"/>
      <c r="AL237" s="33"/>
      <c r="AM237" s="34"/>
      <c r="AN237" s="34"/>
      <c r="AO237" s="34"/>
      <c r="AP237" s="34"/>
      <c r="AQ237" s="34"/>
      <c r="AR237" s="83"/>
    </row>
    <row r="238" s="98" customFormat="true" ht="13.8" hidden="false" customHeight="false" outlineLevel="0" collapsed="false">
      <c r="A238" s="75" t="s">
        <v>467</v>
      </c>
      <c r="B238" s="97" t="s">
        <v>143</v>
      </c>
      <c r="C238" s="98" t="s">
        <v>467</v>
      </c>
      <c r="D238" s="98" t="s">
        <v>468</v>
      </c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99"/>
      <c r="AL238" s="3"/>
      <c r="AM238" s="4"/>
      <c r="AN238" s="4"/>
      <c r="AO238" s="4"/>
      <c r="AP238" s="4"/>
      <c r="AQ238" s="4"/>
      <c r="AR238" s="100"/>
    </row>
    <row r="239" s="81" customFormat="true" ht="13.8" hidden="false" customHeight="false" outlineLevel="0" collapsed="false">
      <c r="A239" s="79" t="s">
        <v>469</v>
      </c>
      <c r="B239" s="80" t="s">
        <v>364</v>
      </c>
      <c r="C239" s="81" t="s">
        <v>470</v>
      </c>
      <c r="D239" s="81" t="s">
        <v>471</v>
      </c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82"/>
      <c r="AL239" s="33"/>
      <c r="AM239" s="34"/>
      <c r="AN239" s="34"/>
      <c r="AO239" s="34"/>
      <c r="AP239" s="34"/>
      <c r="AQ239" s="34"/>
      <c r="AR239" s="83"/>
    </row>
    <row r="240" s="98" customFormat="true" ht="13.8" hidden="false" customHeight="false" outlineLevel="0" collapsed="false">
      <c r="A240" s="75" t="s">
        <v>472</v>
      </c>
      <c r="B240" s="97" t="s">
        <v>143</v>
      </c>
      <c r="C240" s="98" t="s">
        <v>472</v>
      </c>
      <c r="D240" s="98" t="s">
        <v>473</v>
      </c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99"/>
      <c r="AL240" s="3"/>
      <c r="AM240" s="4"/>
      <c r="AN240" s="4"/>
      <c r="AO240" s="4"/>
      <c r="AP240" s="4"/>
      <c r="AQ240" s="4"/>
      <c r="AR240" s="100"/>
    </row>
    <row r="241" s="81" customFormat="true" ht="13.8" hidden="false" customHeight="false" outlineLevel="0" collapsed="false">
      <c r="A241" s="79" t="s">
        <v>474</v>
      </c>
      <c r="B241" s="80"/>
      <c r="C241" s="81" t="s">
        <v>475</v>
      </c>
      <c r="D241" s="81" t="s">
        <v>476</v>
      </c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82"/>
      <c r="AL241" s="33"/>
      <c r="AM241" s="34"/>
      <c r="AN241" s="34"/>
      <c r="AO241" s="34"/>
      <c r="AP241" s="34"/>
      <c r="AQ241" s="34"/>
      <c r="AR241" s="83"/>
    </row>
    <row r="242" s="53" customFormat="true" ht="13.8" hidden="false" customHeight="false" outlineLevel="0" collapsed="false">
      <c r="A242" s="75" t="s">
        <v>477</v>
      </c>
      <c r="B242" s="52" t="s">
        <v>143</v>
      </c>
      <c r="C242" s="53" t="s">
        <v>478</v>
      </c>
      <c r="D242" s="53" t="s">
        <v>479</v>
      </c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5"/>
      <c r="AL242" s="3"/>
      <c r="AM242" s="4"/>
      <c r="AN242" s="4"/>
      <c r="AO242" s="4"/>
      <c r="AP242" s="4"/>
      <c r="AQ242" s="4"/>
      <c r="AR242" s="56"/>
    </row>
    <row r="243" s="69" customFormat="true" ht="13.8" hidden="false" customHeight="false" outlineLevel="0" collapsed="false">
      <c r="A243" s="75"/>
      <c r="B243" s="76" t="s">
        <v>456</v>
      </c>
      <c r="C243" s="69" t="s">
        <v>480</v>
      </c>
      <c r="D243" s="69" t="s">
        <v>481</v>
      </c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8"/>
      <c r="AL243" s="3"/>
      <c r="AM243" s="4"/>
      <c r="AN243" s="4"/>
      <c r="AO243" s="4"/>
      <c r="AP243" s="4"/>
      <c r="AQ243" s="4"/>
      <c r="AR243" s="68"/>
    </row>
    <row r="244" s="81" customFormat="true" ht="13.8" hidden="false" customHeight="false" outlineLevel="0" collapsed="false">
      <c r="A244" s="79" t="s">
        <v>482</v>
      </c>
      <c r="B244" s="80" t="s">
        <v>483</v>
      </c>
      <c r="C244" s="81" t="s">
        <v>482</v>
      </c>
      <c r="D244" s="81" t="s">
        <v>484</v>
      </c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82"/>
      <c r="AL244" s="33"/>
      <c r="AM244" s="34"/>
      <c r="AN244" s="34"/>
      <c r="AO244" s="34"/>
      <c r="AP244" s="34"/>
      <c r="AQ244" s="34"/>
      <c r="AR244" s="83"/>
    </row>
    <row r="245" s="53" customFormat="true" ht="13.8" hidden="false" customHeight="false" outlineLevel="0" collapsed="false">
      <c r="A245" s="75" t="s">
        <v>485</v>
      </c>
      <c r="B245" s="52" t="s">
        <v>443</v>
      </c>
      <c r="C245" s="53" t="s">
        <v>486</v>
      </c>
      <c r="D245" s="53" t="s">
        <v>487</v>
      </c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5"/>
      <c r="AL245" s="3"/>
      <c r="AM245" s="4"/>
      <c r="AN245" s="4"/>
      <c r="AO245" s="4"/>
      <c r="AP245" s="4"/>
      <c r="AQ245" s="4"/>
      <c r="AR245" s="56"/>
    </row>
    <row r="246" s="58" customFormat="true" ht="13.8" hidden="false" customHeight="false" outlineLevel="0" collapsed="false">
      <c r="A246" s="75"/>
      <c r="B246" s="57" t="s">
        <v>443</v>
      </c>
      <c r="C246" s="58" t="s">
        <v>488</v>
      </c>
      <c r="D246" s="58" t="s">
        <v>489</v>
      </c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60"/>
      <c r="AL246" s="3"/>
      <c r="AM246" s="4"/>
      <c r="AN246" s="4"/>
      <c r="AO246" s="4"/>
      <c r="AP246" s="4"/>
      <c r="AQ246" s="4"/>
      <c r="AR246" s="61"/>
    </row>
    <row r="247" s="58" customFormat="true" ht="13.8" hidden="false" customHeight="false" outlineLevel="0" collapsed="false">
      <c r="A247" s="75"/>
      <c r="B247" s="57" t="s">
        <v>443</v>
      </c>
      <c r="C247" s="58" t="s">
        <v>490</v>
      </c>
      <c r="D247" s="58" t="s">
        <v>491</v>
      </c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60"/>
      <c r="AL247" s="3"/>
      <c r="AM247" s="4"/>
      <c r="AN247" s="4"/>
      <c r="AO247" s="4"/>
      <c r="AP247" s="4"/>
      <c r="AQ247" s="4"/>
      <c r="AR247" s="61"/>
    </row>
    <row r="248" s="58" customFormat="true" ht="13.8" hidden="false" customHeight="false" outlineLevel="0" collapsed="false">
      <c r="A248" s="75"/>
      <c r="B248" s="57" t="s">
        <v>443</v>
      </c>
      <c r="C248" s="58" t="s">
        <v>492</v>
      </c>
      <c r="D248" s="58" t="s">
        <v>493</v>
      </c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60"/>
      <c r="AL248" s="3"/>
      <c r="AM248" s="4"/>
      <c r="AN248" s="4"/>
      <c r="AO248" s="4"/>
      <c r="AP248" s="4"/>
      <c r="AQ248" s="4"/>
      <c r="AR248" s="61"/>
    </row>
    <row r="249" s="58" customFormat="true" ht="13.8" hidden="false" customHeight="false" outlineLevel="0" collapsed="false">
      <c r="A249" s="75"/>
      <c r="B249" s="57" t="s">
        <v>443</v>
      </c>
      <c r="C249" s="58" t="s">
        <v>444</v>
      </c>
      <c r="D249" s="58" t="s">
        <v>494</v>
      </c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60"/>
      <c r="AL249" s="3"/>
      <c r="AM249" s="4"/>
      <c r="AN249" s="4"/>
      <c r="AO249" s="4"/>
      <c r="AP249" s="4"/>
      <c r="AQ249" s="4"/>
      <c r="AR249" s="61"/>
    </row>
    <row r="250" s="58" customFormat="true" ht="13.8" hidden="false" customHeight="false" outlineLevel="0" collapsed="false">
      <c r="A250" s="75"/>
      <c r="B250" s="57" t="s">
        <v>443</v>
      </c>
      <c r="C250" s="58" t="s">
        <v>446</v>
      </c>
      <c r="D250" s="58" t="s">
        <v>495</v>
      </c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60"/>
      <c r="AL250" s="3"/>
      <c r="AM250" s="4"/>
      <c r="AN250" s="4"/>
      <c r="AO250" s="4"/>
      <c r="AP250" s="4"/>
      <c r="AQ250" s="4"/>
      <c r="AR250" s="61"/>
    </row>
    <row r="251" s="58" customFormat="true" ht="13.8" hidden="false" customHeight="false" outlineLevel="0" collapsed="false">
      <c r="A251" s="75"/>
      <c r="B251" s="57" t="s">
        <v>443</v>
      </c>
      <c r="C251" s="58" t="s">
        <v>496</v>
      </c>
      <c r="D251" s="58" t="s">
        <v>497</v>
      </c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60"/>
      <c r="AL251" s="3"/>
      <c r="AM251" s="4"/>
      <c r="AN251" s="4"/>
      <c r="AO251" s="4"/>
      <c r="AP251" s="4"/>
      <c r="AQ251" s="4"/>
      <c r="AR251" s="61"/>
    </row>
    <row r="252" s="58" customFormat="true" ht="13.8" hidden="false" customHeight="false" outlineLevel="0" collapsed="false">
      <c r="A252" s="75"/>
      <c r="B252" s="57" t="s">
        <v>443</v>
      </c>
      <c r="C252" s="58" t="s">
        <v>498</v>
      </c>
      <c r="D252" s="58" t="s">
        <v>499</v>
      </c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60"/>
      <c r="AL252" s="3"/>
      <c r="AM252" s="4"/>
      <c r="AN252" s="4"/>
      <c r="AO252" s="4"/>
      <c r="AP252" s="4"/>
      <c r="AQ252" s="4"/>
      <c r="AR252" s="61"/>
    </row>
    <row r="253" s="58" customFormat="true" ht="13.8" hidden="false" customHeight="false" outlineLevel="0" collapsed="false">
      <c r="A253" s="75"/>
      <c r="B253" s="57" t="s">
        <v>443</v>
      </c>
      <c r="C253" s="58" t="s">
        <v>500</v>
      </c>
      <c r="D253" s="58" t="s">
        <v>501</v>
      </c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60"/>
      <c r="AL253" s="3"/>
      <c r="AM253" s="4"/>
      <c r="AN253" s="4"/>
      <c r="AO253" s="4"/>
      <c r="AP253" s="4"/>
      <c r="AQ253" s="4"/>
      <c r="AR253" s="61"/>
    </row>
    <row r="254" s="58" customFormat="true" ht="13.8" hidden="false" customHeight="false" outlineLevel="0" collapsed="false">
      <c r="A254" s="75"/>
      <c r="B254" s="57" t="s">
        <v>443</v>
      </c>
      <c r="C254" s="58" t="s">
        <v>502</v>
      </c>
      <c r="D254" s="58" t="s">
        <v>503</v>
      </c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60"/>
      <c r="AL254" s="3"/>
      <c r="AM254" s="4"/>
      <c r="AN254" s="4"/>
      <c r="AO254" s="4"/>
      <c r="AP254" s="4"/>
      <c r="AQ254" s="4"/>
      <c r="AR254" s="61"/>
    </row>
    <row r="255" s="58" customFormat="true" ht="13.8" hidden="false" customHeight="false" outlineLevel="0" collapsed="false">
      <c r="A255" s="75"/>
      <c r="B255" s="57" t="s">
        <v>443</v>
      </c>
      <c r="C255" s="58" t="s">
        <v>504</v>
      </c>
      <c r="D255" s="58" t="s">
        <v>505</v>
      </c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60"/>
      <c r="AL255" s="3"/>
      <c r="AM255" s="4"/>
      <c r="AN255" s="4"/>
      <c r="AO255" s="4"/>
      <c r="AP255" s="4"/>
      <c r="AQ255" s="4"/>
      <c r="AR255" s="61"/>
    </row>
    <row r="256" s="69" customFormat="true" ht="13.8" hidden="false" customHeight="false" outlineLevel="0" collapsed="false">
      <c r="A256" s="75"/>
      <c r="B256" s="76" t="s">
        <v>443</v>
      </c>
      <c r="C256" s="69" t="s">
        <v>506</v>
      </c>
      <c r="D256" s="69" t="s">
        <v>507</v>
      </c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8"/>
      <c r="AL256" s="3"/>
      <c r="AM256" s="4"/>
      <c r="AN256" s="4"/>
      <c r="AO256" s="4"/>
      <c r="AP256" s="4"/>
      <c r="AQ256" s="4"/>
      <c r="AR256" s="68"/>
    </row>
    <row r="257" s="30" customFormat="true" ht="13.8" hidden="false" customHeight="false" outlineLevel="0" collapsed="false">
      <c r="A257" s="31" t="s">
        <v>508</v>
      </c>
      <c r="B257" s="29" t="s">
        <v>443</v>
      </c>
      <c r="C257" s="30" t="s">
        <v>165</v>
      </c>
      <c r="D257" s="30" t="s">
        <v>509</v>
      </c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90"/>
      <c r="AL257" s="33"/>
      <c r="AM257" s="34"/>
      <c r="AN257" s="34"/>
      <c r="AO257" s="34"/>
      <c r="AP257" s="34"/>
      <c r="AQ257" s="34"/>
      <c r="AR257" s="35"/>
    </row>
    <row r="258" s="37" customFormat="true" ht="13.8" hidden="false" customHeight="false" outlineLevel="0" collapsed="false">
      <c r="A258" s="31"/>
      <c r="B258" s="36" t="s">
        <v>443</v>
      </c>
      <c r="C258" s="37" t="s">
        <v>163</v>
      </c>
      <c r="D258" s="37" t="s">
        <v>510</v>
      </c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9"/>
      <c r="AL258" s="33"/>
      <c r="AM258" s="34"/>
      <c r="AN258" s="34"/>
      <c r="AO258" s="34"/>
      <c r="AP258" s="34"/>
      <c r="AQ258" s="34"/>
      <c r="AR258" s="40"/>
    </row>
    <row r="259" s="37" customFormat="true" ht="13.8" hidden="false" customHeight="false" outlineLevel="0" collapsed="false">
      <c r="A259" s="31"/>
      <c r="B259" s="36" t="s">
        <v>443</v>
      </c>
      <c r="C259" s="37" t="s">
        <v>185</v>
      </c>
      <c r="D259" s="37" t="s">
        <v>511</v>
      </c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9"/>
      <c r="AL259" s="33"/>
      <c r="AM259" s="34"/>
      <c r="AN259" s="34"/>
      <c r="AO259" s="34"/>
      <c r="AP259" s="34"/>
      <c r="AQ259" s="34"/>
      <c r="AR259" s="40"/>
    </row>
    <row r="260" s="37" customFormat="true" ht="13.8" hidden="false" customHeight="false" outlineLevel="0" collapsed="false">
      <c r="A260" s="31"/>
      <c r="B260" s="36" t="s">
        <v>443</v>
      </c>
      <c r="C260" s="37" t="s">
        <v>512</v>
      </c>
      <c r="D260" s="37" t="s">
        <v>513</v>
      </c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9"/>
      <c r="AL260" s="33"/>
      <c r="AM260" s="34"/>
      <c r="AN260" s="34"/>
      <c r="AO260" s="34"/>
      <c r="AP260" s="34"/>
      <c r="AQ260" s="34"/>
      <c r="AR260" s="40"/>
    </row>
    <row r="261" s="37" customFormat="true" ht="13.8" hidden="false" customHeight="false" outlineLevel="0" collapsed="false">
      <c r="A261" s="31"/>
      <c r="B261" s="36" t="s">
        <v>443</v>
      </c>
      <c r="C261" s="37" t="s">
        <v>191</v>
      </c>
      <c r="D261" s="37" t="s">
        <v>514</v>
      </c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9"/>
      <c r="AL261" s="33"/>
      <c r="AM261" s="34"/>
      <c r="AN261" s="34"/>
      <c r="AO261" s="34"/>
      <c r="AP261" s="34"/>
      <c r="AQ261" s="34"/>
      <c r="AR261" s="40"/>
    </row>
    <row r="262" s="37" customFormat="true" ht="13.8" hidden="false" customHeight="false" outlineLevel="0" collapsed="false">
      <c r="A262" s="31"/>
      <c r="B262" s="36" t="s">
        <v>443</v>
      </c>
      <c r="C262" s="37" t="s">
        <v>177</v>
      </c>
      <c r="D262" s="37" t="s">
        <v>515</v>
      </c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9"/>
      <c r="AL262" s="33"/>
      <c r="AM262" s="34"/>
      <c r="AN262" s="34"/>
      <c r="AO262" s="34"/>
      <c r="AP262" s="34"/>
      <c r="AQ262" s="34"/>
      <c r="AR262" s="40"/>
    </row>
    <row r="263" s="37" customFormat="true" ht="13.8" hidden="false" customHeight="false" outlineLevel="0" collapsed="false">
      <c r="A263" s="31"/>
      <c r="B263" s="36" t="s">
        <v>443</v>
      </c>
      <c r="C263" s="37" t="s">
        <v>193</v>
      </c>
      <c r="D263" s="37" t="s">
        <v>516</v>
      </c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9"/>
      <c r="AL263" s="33"/>
      <c r="AM263" s="34"/>
      <c r="AN263" s="34"/>
      <c r="AO263" s="34"/>
      <c r="AP263" s="34"/>
      <c r="AQ263" s="34"/>
      <c r="AR263" s="40"/>
    </row>
    <row r="264" s="37" customFormat="true" ht="13.8" hidden="false" customHeight="false" outlineLevel="0" collapsed="false">
      <c r="A264" s="31"/>
      <c r="B264" s="36" t="s">
        <v>443</v>
      </c>
      <c r="C264" s="37" t="s">
        <v>187</v>
      </c>
      <c r="D264" s="37" t="s">
        <v>517</v>
      </c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9"/>
      <c r="AL264" s="33"/>
      <c r="AM264" s="34"/>
      <c r="AN264" s="34"/>
      <c r="AO264" s="34"/>
      <c r="AP264" s="34"/>
      <c r="AQ264" s="34"/>
      <c r="AR264" s="40"/>
    </row>
    <row r="265" s="37" customFormat="true" ht="13.8" hidden="false" customHeight="false" outlineLevel="0" collapsed="false">
      <c r="A265" s="31"/>
      <c r="B265" s="36" t="s">
        <v>443</v>
      </c>
      <c r="C265" s="37" t="s">
        <v>161</v>
      </c>
      <c r="D265" s="37" t="s">
        <v>518</v>
      </c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9"/>
      <c r="AL265" s="33"/>
      <c r="AM265" s="34"/>
      <c r="AN265" s="34"/>
      <c r="AO265" s="34"/>
      <c r="AP265" s="34"/>
      <c r="AQ265" s="34"/>
      <c r="AR265" s="40"/>
    </row>
    <row r="266" s="37" customFormat="true" ht="13.8" hidden="false" customHeight="false" outlineLevel="0" collapsed="false">
      <c r="A266" s="31"/>
      <c r="B266" s="36" t="s">
        <v>443</v>
      </c>
      <c r="C266" s="37" t="s">
        <v>195</v>
      </c>
      <c r="D266" s="37" t="s">
        <v>519</v>
      </c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9"/>
      <c r="AL266" s="33"/>
      <c r="AM266" s="34"/>
      <c r="AN266" s="34"/>
      <c r="AO266" s="34"/>
      <c r="AP266" s="34"/>
      <c r="AQ266" s="34"/>
      <c r="AR266" s="40"/>
    </row>
    <row r="267" s="37" customFormat="true" ht="13.8" hidden="false" customHeight="false" outlineLevel="0" collapsed="false">
      <c r="A267" s="31"/>
      <c r="B267" s="36" t="s">
        <v>443</v>
      </c>
      <c r="C267" s="37" t="s">
        <v>175</v>
      </c>
      <c r="D267" s="37" t="s">
        <v>520</v>
      </c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9"/>
      <c r="AL267" s="33"/>
      <c r="AM267" s="34"/>
      <c r="AN267" s="34"/>
      <c r="AO267" s="34"/>
      <c r="AP267" s="34"/>
      <c r="AQ267" s="34"/>
      <c r="AR267" s="40"/>
    </row>
    <row r="268" s="37" customFormat="true" ht="13.8" hidden="false" customHeight="false" outlineLevel="0" collapsed="false">
      <c r="A268" s="31"/>
      <c r="B268" s="36" t="s">
        <v>443</v>
      </c>
      <c r="C268" s="37" t="s">
        <v>521</v>
      </c>
      <c r="D268" s="37" t="s">
        <v>522</v>
      </c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9"/>
      <c r="AL268" s="33"/>
      <c r="AM268" s="34"/>
      <c r="AN268" s="34"/>
      <c r="AO268" s="34"/>
      <c r="AP268" s="34"/>
      <c r="AQ268" s="34"/>
      <c r="AR268" s="40"/>
    </row>
    <row r="269" s="37" customFormat="true" ht="13.8" hidden="false" customHeight="false" outlineLevel="0" collapsed="false">
      <c r="A269" s="31"/>
      <c r="B269" s="36" t="s">
        <v>443</v>
      </c>
      <c r="C269" s="37" t="s">
        <v>171</v>
      </c>
      <c r="D269" s="37" t="s">
        <v>523</v>
      </c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9"/>
      <c r="AL269" s="33"/>
      <c r="AM269" s="34"/>
      <c r="AN269" s="34"/>
      <c r="AO269" s="34"/>
      <c r="AP269" s="34"/>
      <c r="AQ269" s="34"/>
      <c r="AR269" s="40"/>
    </row>
    <row r="270" s="37" customFormat="true" ht="13.8" hidden="false" customHeight="false" outlineLevel="0" collapsed="false">
      <c r="A270" s="31"/>
      <c r="B270" s="36" t="s">
        <v>443</v>
      </c>
      <c r="C270" s="37" t="s">
        <v>217</v>
      </c>
      <c r="D270" s="37" t="s">
        <v>524</v>
      </c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9"/>
      <c r="AL270" s="33"/>
      <c r="AM270" s="34"/>
      <c r="AN270" s="34"/>
      <c r="AO270" s="34"/>
      <c r="AP270" s="34"/>
      <c r="AQ270" s="34"/>
      <c r="AR270" s="40"/>
    </row>
    <row r="271" s="37" customFormat="true" ht="13.8" hidden="false" customHeight="false" outlineLevel="0" collapsed="false">
      <c r="A271" s="31"/>
      <c r="B271" s="36" t="s">
        <v>443</v>
      </c>
      <c r="C271" s="37" t="s">
        <v>173</v>
      </c>
      <c r="D271" s="37" t="s">
        <v>525</v>
      </c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9"/>
      <c r="AL271" s="33"/>
      <c r="AM271" s="34"/>
      <c r="AN271" s="34"/>
      <c r="AO271" s="34"/>
      <c r="AP271" s="34"/>
      <c r="AQ271" s="34"/>
      <c r="AR271" s="40"/>
    </row>
    <row r="272" s="37" customFormat="true" ht="13.8" hidden="false" customHeight="false" outlineLevel="0" collapsed="false">
      <c r="A272" s="31"/>
      <c r="B272" s="36" t="s">
        <v>443</v>
      </c>
      <c r="C272" s="37" t="s">
        <v>197</v>
      </c>
      <c r="D272" s="37" t="s">
        <v>526</v>
      </c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9"/>
      <c r="AL272" s="33"/>
      <c r="AM272" s="34"/>
      <c r="AN272" s="34"/>
      <c r="AO272" s="34"/>
      <c r="AP272" s="34"/>
      <c r="AQ272" s="34"/>
      <c r="AR272" s="40"/>
    </row>
    <row r="273" s="37" customFormat="true" ht="13.8" hidden="false" customHeight="false" outlineLevel="0" collapsed="false">
      <c r="A273" s="31"/>
      <c r="B273" s="36" t="s">
        <v>443</v>
      </c>
      <c r="C273" s="37" t="s">
        <v>215</v>
      </c>
      <c r="D273" s="37" t="s">
        <v>527</v>
      </c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9"/>
      <c r="AL273" s="33"/>
      <c r="AM273" s="34"/>
      <c r="AN273" s="34"/>
      <c r="AO273" s="34"/>
      <c r="AP273" s="34"/>
      <c r="AQ273" s="34"/>
      <c r="AR273" s="40"/>
    </row>
    <row r="274" s="37" customFormat="true" ht="13.8" hidden="false" customHeight="false" outlineLevel="0" collapsed="false">
      <c r="A274" s="31"/>
      <c r="B274" s="36" t="s">
        <v>443</v>
      </c>
      <c r="C274" s="37" t="s">
        <v>183</v>
      </c>
      <c r="D274" s="37" t="s">
        <v>528</v>
      </c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9"/>
      <c r="AL274" s="33"/>
      <c r="AM274" s="34"/>
      <c r="AN274" s="34"/>
      <c r="AO274" s="34"/>
      <c r="AP274" s="34"/>
      <c r="AQ274" s="34"/>
      <c r="AR274" s="40"/>
    </row>
    <row r="275" s="37" customFormat="true" ht="13.8" hidden="false" customHeight="false" outlineLevel="0" collapsed="false">
      <c r="A275" s="31"/>
      <c r="B275" s="36" t="s">
        <v>443</v>
      </c>
      <c r="C275" s="37" t="s">
        <v>179</v>
      </c>
      <c r="D275" s="37" t="s">
        <v>529</v>
      </c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9"/>
      <c r="AL275" s="33"/>
      <c r="AM275" s="34"/>
      <c r="AN275" s="34"/>
      <c r="AO275" s="34"/>
      <c r="AP275" s="34"/>
      <c r="AQ275" s="34"/>
      <c r="AR275" s="40"/>
    </row>
    <row r="276" s="37" customFormat="true" ht="13.8" hidden="false" customHeight="false" outlineLevel="0" collapsed="false">
      <c r="A276" s="31"/>
      <c r="B276" s="36" t="s">
        <v>443</v>
      </c>
      <c r="C276" s="37" t="s">
        <v>181</v>
      </c>
      <c r="D276" s="37" t="s">
        <v>530</v>
      </c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9"/>
      <c r="AL276" s="33"/>
      <c r="AM276" s="34"/>
      <c r="AN276" s="34"/>
      <c r="AO276" s="34"/>
      <c r="AP276" s="34"/>
      <c r="AQ276" s="34"/>
      <c r="AR276" s="40"/>
    </row>
    <row r="277" s="37" customFormat="true" ht="13.8" hidden="false" customHeight="false" outlineLevel="0" collapsed="false">
      <c r="A277" s="31"/>
      <c r="B277" s="36" t="s">
        <v>443</v>
      </c>
      <c r="C277" s="37" t="s">
        <v>213</v>
      </c>
      <c r="D277" s="37" t="s">
        <v>531</v>
      </c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9"/>
      <c r="AL277" s="33"/>
      <c r="AM277" s="34"/>
      <c r="AN277" s="34"/>
      <c r="AO277" s="34"/>
      <c r="AP277" s="34"/>
      <c r="AQ277" s="34"/>
      <c r="AR277" s="40"/>
    </row>
    <row r="278" s="48" customFormat="true" ht="13.8" hidden="false" customHeight="false" outlineLevel="0" collapsed="false">
      <c r="A278" s="31"/>
      <c r="B278" s="91" t="s">
        <v>532</v>
      </c>
      <c r="C278" s="48" t="s">
        <v>533</v>
      </c>
      <c r="D278" s="48" t="s">
        <v>534</v>
      </c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3"/>
      <c r="AL278" s="33"/>
      <c r="AM278" s="34"/>
      <c r="AN278" s="34"/>
      <c r="AO278" s="34"/>
      <c r="AP278" s="34"/>
      <c r="AQ278" s="34"/>
      <c r="AR278" s="50"/>
    </row>
    <row r="279" s="98" customFormat="true" ht="13.8" hidden="false" customHeight="false" outlineLevel="0" collapsed="false">
      <c r="A279" s="75" t="s">
        <v>535</v>
      </c>
      <c r="B279" s="97" t="s">
        <v>443</v>
      </c>
      <c r="C279" s="98" t="s">
        <v>356</v>
      </c>
      <c r="D279" s="98" t="s">
        <v>536</v>
      </c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99"/>
      <c r="AL279" s="3"/>
      <c r="AM279" s="4"/>
      <c r="AN279" s="4"/>
      <c r="AO279" s="4"/>
      <c r="AP279" s="4"/>
      <c r="AQ279" s="4"/>
      <c r="AR279" s="100"/>
    </row>
    <row r="280" s="81" customFormat="true" ht="13.8" hidden="false" customHeight="false" outlineLevel="0" collapsed="false">
      <c r="A280" s="79" t="s">
        <v>537</v>
      </c>
      <c r="B280" s="80" t="s">
        <v>538</v>
      </c>
      <c r="C280" s="81" t="s">
        <v>448</v>
      </c>
      <c r="D280" s="81" t="s">
        <v>539</v>
      </c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82"/>
      <c r="AL280" s="33"/>
      <c r="AM280" s="34"/>
      <c r="AN280" s="34"/>
      <c r="AO280" s="34"/>
      <c r="AP280" s="34"/>
      <c r="AQ280" s="34"/>
      <c r="AR280" s="83"/>
    </row>
    <row r="281" s="53" customFormat="true" ht="13.8" hidden="false" customHeight="false" outlineLevel="0" collapsed="false">
      <c r="A281" s="75" t="s">
        <v>540</v>
      </c>
      <c r="B281" s="52" t="s">
        <v>541</v>
      </c>
      <c r="C281" s="53" t="s">
        <v>542</v>
      </c>
      <c r="D281" s="53" t="s">
        <v>543</v>
      </c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5"/>
      <c r="AL281" s="3"/>
      <c r="AM281" s="4"/>
      <c r="AN281" s="4"/>
      <c r="AO281" s="4"/>
      <c r="AP281" s="4"/>
      <c r="AQ281" s="4"/>
      <c r="AR281" s="56"/>
    </row>
    <row r="282" s="58" customFormat="true" ht="13.8" hidden="false" customHeight="false" outlineLevel="0" collapsed="false">
      <c r="A282" s="75"/>
      <c r="B282" s="57" t="s">
        <v>541</v>
      </c>
      <c r="C282" s="58" t="s">
        <v>544</v>
      </c>
      <c r="D282" s="58" t="s">
        <v>545</v>
      </c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60"/>
      <c r="AL282" s="3"/>
      <c r="AM282" s="4"/>
      <c r="AN282" s="4"/>
      <c r="AO282" s="4"/>
      <c r="AP282" s="4"/>
      <c r="AQ282" s="4"/>
      <c r="AR282" s="61"/>
    </row>
    <row r="283" s="58" customFormat="true" ht="13.8" hidden="false" customHeight="false" outlineLevel="0" collapsed="false">
      <c r="A283" s="75"/>
      <c r="B283" s="57" t="s">
        <v>541</v>
      </c>
      <c r="C283" s="58" t="s">
        <v>546</v>
      </c>
      <c r="D283" s="58" t="s">
        <v>547</v>
      </c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60"/>
      <c r="AL283" s="3"/>
      <c r="AM283" s="4"/>
      <c r="AN283" s="4"/>
      <c r="AO283" s="4"/>
      <c r="AP283" s="4"/>
      <c r="AQ283" s="4"/>
      <c r="AR283" s="61"/>
    </row>
    <row r="284" s="58" customFormat="true" ht="13.8" hidden="false" customHeight="false" outlineLevel="0" collapsed="false">
      <c r="A284" s="75"/>
      <c r="B284" s="57" t="s">
        <v>541</v>
      </c>
      <c r="C284" s="58" t="s">
        <v>548</v>
      </c>
      <c r="D284" s="58" t="s">
        <v>549</v>
      </c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60"/>
      <c r="AL284" s="3"/>
      <c r="AM284" s="4"/>
      <c r="AN284" s="4"/>
      <c r="AO284" s="4"/>
      <c r="AP284" s="4"/>
      <c r="AQ284" s="4"/>
      <c r="AR284" s="61"/>
    </row>
    <row r="285" s="58" customFormat="true" ht="13.8" hidden="false" customHeight="false" outlineLevel="0" collapsed="false">
      <c r="A285" s="75"/>
      <c r="B285" s="57" t="s">
        <v>541</v>
      </c>
      <c r="C285" s="58" t="s">
        <v>550</v>
      </c>
      <c r="D285" s="58" t="s">
        <v>551</v>
      </c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60"/>
      <c r="AL285" s="3"/>
      <c r="AM285" s="4"/>
      <c r="AN285" s="4"/>
      <c r="AO285" s="4"/>
      <c r="AP285" s="4"/>
      <c r="AQ285" s="4"/>
      <c r="AR285" s="61"/>
    </row>
    <row r="286" s="58" customFormat="true" ht="13.8" hidden="false" customHeight="false" outlineLevel="0" collapsed="false">
      <c r="A286" s="75"/>
      <c r="B286" s="57" t="s">
        <v>541</v>
      </c>
      <c r="C286" s="58" t="s">
        <v>552</v>
      </c>
      <c r="D286" s="58" t="s">
        <v>553</v>
      </c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60"/>
      <c r="AL286" s="3"/>
      <c r="AM286" s="4"/>
      <c r="AN286" s="4"/>
      <c r="AO286" s="4"/>
      <c r="AP286" s="4"/>
      <c r="AQ286" s="4"/>
      <c r="AR286" s="61"/>
    </row>
    <row r="287" s="58" customFormat="true" ht="13.8" hidden="false" customHeight="false" outlineLevel="0" collapsed="false">
      <c r="A287" s="75"/>
      <c r="B287" s="57" t="s">
        <v>541</v>
      </c>
      <c r="C287" s="58" t="s">
        <v>554</v>
      </c>
      <c r="D287" s="58" t="s">
        <v>555</v>
      </c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60"/>
      <c r="AL287" s="3"/>
      <c r="AM287" s="4"/>
      <c r="AN287" s="4"/>
      <c r="AO287" s="4"/>
      <c r="AP287" s="4"/>
      <c r="AQ287" s="4"/>
      <c r="AR287" s="61"/>
    </row>
    <row r="288" s="58" customFormat="true" ht="13.8" hidden="false" customHeight="false" outlineLevel="0" collapsed="false">
      <c r="A288" s="75"/>
      <c r="B288" s="57" t="s">
        <v>541</v>
      </c>
      <c r="C288" s="58" t="s">
        <v>556</v>
      </c>
      <c r="D288" s="58" t="s">
        <v>557</v>
      </c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60"/>
      <c r="AL288" s="3"/>
      <c r="AM288" s="4"/>
      <c r="AN288" s="4"/>
      <c r="AO288" s="4"/>
      <c r="AP288" s="4"/>
      <c r="AQ288" s="4"/>
      <c r="AR288" s="61"/>
    </row>
    <row r="289" s="69" customFormat="true" ht="13.8" hidden="false" customHeight="false" outlineLevel="0" collapsed="false">
      <c r="A289" s="75"/>
      <c r="B289" s="76" t="s">
        <v>541</v>
      </c>
      <c r="C289" s="69" t="s">
        <v>558</v>
      </c>
      <c r="D289" s="69" t="s">
        <v>559</v>
      </c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8"/>
      <c r="AL289" s="3"/>
      <c r="AM289" s="4"/>
      <c r="AN289" s="4"/>
      <c r="AO289" s="4"/>
      <c r="AP289" s="4"/>
      <c r="AQ289" s="4"/>
      <c r="AR289" s="68"/>
    </row>
    <row r="290" s="30" customFormat="true" ht="13.8" hidden="false" customHeight="false" outlineLevel="0" collapsed="false">
      <c r="A290" s="31" t="s">
        <v>560</v>
      </c>
      <c r="B290" s="29" t="s">
        <v>364</v>
      </c>
      <c r="C290" s="30" t="s">
        <v>561</v>
      </c>
      <c r="D290" s="30" t="s">
        <v>562</v>
      </c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90"/>
      <c r="AL290" s="33"/>
      <c r="AM290" s="34"/>
      <c r="AN290" s="34"/>
      <c r="AO290" s="34"/>
      <c r="AP290" s="34"/>
      <c r="AQ290" s="34"/>
      <c r="AR290" s="35"/>
    </row>
    <row r="291" s="48" customFormat="true" ht="13.8" hidden="false" customHeight="false" outlineLevel="0" collapsed="false">
      <c r="A291" s="31"/>
      <c r="B291" s="91" t="s">
        <v>157</v>
      </c>
      <c r="C291" s="48" t="s">
        <v>563</v>
      </c>
      <c r="D291" s="48" t="s">
        <v>564</v>
      </c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3"/>
      <c r="AL291" s="33"/>
      <c r="AM291" s="34"/>
      <c r="AN291" s="34"/>
      <c r="AO291" s="34"/>
      <c r="AP291" s="34"/>
      <c r="AQ291" s="34"/>
      <c r="AR291" s="50"/>
    </row>
    <row r="292" s="53" customFormat="true" ht="13.8" hidden="false" customHeight="false" outlineLevel="0" collapsed="false">
      <c r="A292" s="75" t="s">
        <v>565</v>
      </c>
      <c r="B292" s="52" t="s">
        <v>433</v>
      </c>
      <c r="C292" s="53" t="s">
        <v>191</v>
      </c>
      <c r="D292" s="53" t="s">
        <v>566</v>
      </c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5"/>
      <c r="AL292" s="3"/>
      <c r="AM292" s="4"/>
      <c r="AN292" s="4"/>
      <c r="AO292" s="4"/>
      <c r="AP292" s="4"/>
      <c r="AQ292" s="4"/>
      <c r="AR292" s="56"/>
    </row>
    <row r="293" s="58" customFormat="true" ht="13.8" hidden="false" customHeight="false" outlineLevel="0" collapsed="false">
      <c r="A293" s="75"/>
      <c r="B293" s="57" t="s">
        <v>433</v>
      </c>
      <c r="C293" s="58" t="s">
        <v>512</v>
      </c>
      <c r="D293" s="58" t="s">
        <v>567</v>
      </c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60"/>
      <c r="AL293" s="3"/>
      <c r="AM293" s="4"/>
      <c r="AN293" s="4"/>
      <c r="AO293" s="4"/>
      <c r="AP293" s="4"/>
      <c r="AQ293" s="4"/>
      <c r="AR293" s="61"/>
    </row>
    <row r="294" s="58" customFormat="true" ht="13.8" hidden="false" customHeight="false" outlineLevel="0" collapsed="false">
      <c r="A294" s="75"/>
      <c r="B294" s="57" t="s">
        <v>433</v>
      </c>
      <c r="C294" s="58" t="s">
        <v>185</v>
      </c>
      <c r="D294" s="58" t="s">
        <v>568</v>
      </c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60"/>
      <c r="AL294" s="3"/>
      <c r="AM294" s="4"/>
      <c r="AN294" s="4"/>
      <c r="AO294" s="4"/>
      <c r="AP294" s="4"/>
      <c r="AQ294" s="4"/>
      <c r="AR294" s="61"/>
    </row>
    <row r="295" s="58" customFormat="true" ht="13.8" hidden="false" customHeight="false" outlineLevel="0" collapsed="false">
      <c r="A295" s="75"/>
      <c r="B295" s="57" t="s">
        <v>433</v>
      </c>
      <c r="C295" s="58" t="s">
        <v>193</v>
      </c>
      <c r="D295" s="58" t="s">
        <v>569</v>
      </c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60"/>
      <c r="AL295" s="3"/>
      <c r="AM295" s="4"/>
      <c r="AN295" s="4"/>
      <c r="AO295" s="4"/>
      <c r="AP295" s="4"/>
      <c r="AQ295" s="4"/>
      <c r="AR295" s="61"/>
    </row>
    <row r="296" s="58" customFormat="true" ht="13.8" hidden="false" customHeight="false" outlineLevel="0" collapsed="false">
      <c r="A296" s="75"/>
      <c r="B296" s="57" t="s">
        <v>433</v>
      </c>
      <c r="C296" s="58" t="s">
        <v>215</v>
      </c>
      <c r="D296" s="58" t="s">
        <v>570</v>
      </c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60"/>
      <c r="AL296" s="3"/>
      <c r="AM296" s="4"/>
      <c r="AN296" s="4"/>
      <c r="AO296" s="4"/>
      <c r="AP296" s="4"/>
      <c r="AQ296" s="4"/>
      <c r="AR296" s="61"/>
    </row>
    <row r="297" s="58" customFormat="true" ht="13.8" hidden="false" customHeight="false" outlineLevel="0" collapsed="false">
      <c r="A297" s="75"/>
      <c r="B297" s="57" t="s">
        <v>433</v>
      </c>
      <c r="C297" s="58" t="s">
        <v>177</v>
      </c>
      <c r="D297" s="58" t="s">
        <v>571</v>
      </c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60"/>
      <c r="AL297" s="3"/>
      <c r="AM297" s="4"/>
      <c r="AN297" s="4"/>
      <c r="AO297" s="4"/>
      <c r="AP297" s="4"/>
      <c r="AQ297" s="4"/>
      <c r="AR297" s="61"/>
    </row>
    <row r="298" s="58" customFormat="true" ht="13.8" hidden="false" customHeight="false" outlineLevel="0" collapsed="false">
      <c r="A298" s="75"/>
      <c r="B298" s="57" t="s">
        <v>433</v>
      </c>
      <c r="C298" s="58" t="s">
        <v>187</v>
      </c>
      <c r="D298" s="58" t="s">
        <v>572</v>
      </c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60"/>
      <c r="AL298" s="3"/>
      <c r="AM298" s="4"/>
      <c r="AN298" s="4"/>
      <c r="AO298" s="4"/>
      <c r="AP298" s="4"/>
      <c r="AQ298" s="4"/>
      <c r="AR298" s="61"/>
    </row>
    <row r="299" s="58" customFormat="true" ht="13.8" hidden="false" customHeight="false" outlineLevel="0" collapsed="false">
      <c r="A299" s="75"/>
      <c r="B299" s="57" t="s">
        <v>433</v>
      </c>
      <c r="C299" s="58" t="s">
        <v>195</v>
      </c>
      <c r="D299" s="58" t="s">
        <v>573</v>
      </c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60"/>
      <c r="AL299" s="3"/>
      <c r="AM299" s="4"/>
      <c r="AN299" s="4"/>
      <c r="AO299" s="4"/>
      <c r="AP299" s="4"/>
      <c r="AQ299" s="4"/>
      <c r="AR299" s="61"/>
    </row>
    <row r="300" s="58" customFormat="true" ht="13.8" hidden="false" customHeight="false" outlineLevel="0" collapsed="false">
      <c r="A300" s="75"/>
      <c r="B300" s="57" t="s">
        <v>433</v>
      </c>
      <c r="C300" s="58" t="s">
        <v>173</v>
      </c>
      <c r="D300" s="58" t="s">
        <v>574</v>
      </c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60"/>
      <c r="AL300" s="3"/>
      <c r="AM300" s="4"/>
      <c r="AN300" s="4"/>
      <c r="AO300" s="4"/>
      <c r="AP300" s="4"/>
      <c r="AQ300" s="4"/>
      <c r="AR300" s="61"/>
    </row>
    <row r="301" s="58" customFormat="true" ht="13.8" hidden="false" customHeight="false" outlineLevel="0" collapsed="false">
      <c r="A301" s="75"/>
      <c r="B301" s="57" t="s">
        <v>433</v>
      </c>
      <c r="C301" s="58" t="s">
        <v>217</v>
      </c>
      <c r="D301" s="58" t="s">
        <v>575</v>
      </c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60"/>
      <c r="AL301" s="3"/>
      <c r="AM301" s="4"/>
      <c r="AN301" s="4"/>
      <c r="AO301" s="4"/>
      <c r="AP301" s="4"/>
      <c r="AQ301" s="4"/>
      <c r="AR301" s="61"/>
    </row>
    <row r="302" s="58" customFormat="true" ht="13.8" hidden="false" customHeight="false" outlineLevel="0" collapsed="false">
      <c r="A302" s="75"/>
      <c r="B302" s="57" t="s">
        <v>433</v>
      </c>
      <c r="C302" s="58" t="s">
        <v>175</v>
      </c>
      <c r="D302" s="58" t="s">
        <v>576</v>
      </c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60"/>
      <c r="AL302" s="3"/>
      <c r="AM302" s="4"/>
      <c r="AN302" s="4"/>
      <c r="AO302" s="4"/>
      <c r="AP302" s="4"/>
      <c r="AQ302" s="4"/>
      <c r="AR302" s="61"/>
    </row>
    <row r="303" s="58" customFormat="true" ht="13.8" hidden="false" customHeight="false" outlineLevel="0" collapsed="false">
      <c r="A303" s="75"/>
      <c r="B303" s="57" t="s">
        <v>433</v>
      </c>
      <c r="C303" s="58" t="s">
        <v>183</v>
      </c>
      <c r="D303" s="58" t="s">
        <v>577</v>
      </c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60"/>
      <c r="AL303" s="3"/>
      <c r="AM303" s="4"/>
      <c r="AN303" s="4"/>
      <c r="AO303" s="4"/>
      <c r="AP303" s="4"/>
      <c r="AQ303" s="4"/>
      <c r="AR303" s="61"/>
    </row>
    <row r="304" s="58" customFormat="true" ht="13.8" hidden="false" customHeight="false" outlineLevel="0" collapsed="false">
      <c r="A304" s="75"/>
      <c r="B304" s="57" t="s">
        <v>433</v>
      </c>
      <c r="C304" s="58" t="s">
        <v>179</v>
      </c>
      <c r="D304" s="58" t="s">
        <v>578</v>
      </c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60"/>
      <c r="AL304" s="3"/>
      <c r="AM304" s="4"/>
      <c r="AN304" s="4"/>
      <c r="AO304" s="4"/>
      <c r="AP304" s="4"/>
      <c r="AQ304" s="4"/>
      <c r="AR304" s="61"/>
    </row>
    <row r="305" s="58" customFormat="true" ht="13.8" hidden="false" customHeight="false" outlineLevel="0" collapsed="false">
      <c r="A305" s="75"/>
      <c r="B305" s="57" t="s">
        <v>433</v>
      </c>
      <c r="C305" s="58" t="s">
        <v>165</v>
      </c>
      <c r="D305" s="58" t="s">
        <v>579</v>
      </c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60"/>
      <c r="AL305" s="3"/>
      <c r="AM305" s="4"/>
      <c r="AN305" s="4"/>
      <c r="AO305" s="4"/>
      <c r="AP305" s="4"/>
      <c r="AQ305" s="4"/>
      <c r="AR305" s="61"/>
    </row>
    <row r="306" s="58" customFormat="true" ht="13.8" hidden="false" customHeight="false" outlineLevel="0" collapsed="false">
      <c r="A306" s="75"/>
      <c r="B306" s="57" t="s">
        <v>433</v>
      </c>
      <c r="C306" s="58" t="s">
        <v>163</v>
      </c>
      <c r="D306" s="58" t="s">
        <v>580</v>
      </c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60"/>
      <c r="AL306" s="3"/>
      <c r="AM306" s="4"/>
      <c r="AN306" s="4"/>
      <c r="AO306" s="4"/>
      <c r="AP306" s="4"/>
      <c r="AQ306" s="4"/>
      <c r="AR306" s="61"/>
    </row>
    <row r="307" s="58" customFormat="true" ht="13.8" hidden="false" customHeight="false" outlineLevel="0" collapsed="false">
      <c r="A307" s="75"/>
      <c r="B307" s="57" t="s">
        <v>433</v>
      </c>
      <c r="C307" s="58" t="s">
        <v>171</v>
      </c>
      <c r="D307" s="58" t="s">
        <v>581</v>
      </c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60"/>
      <c r="AL307" s="3"/>
      <c r="AM307" s="4"/>
      <c r="AN307" s="4"/>
      <c r="AO307" s="4"/>
      <c r="AP307" s="4"/>
      <c r="AQ307" s="4"/>
      <c r="AR307" s="61"/>
    </row>
    <row r="308" s="58" customFormat="true" ht="13.8" hidden="false" customHeight="false" outlineLevel="0" collapsed="false">
      <c r="A308" s="75"/>
      <c r="B308" s="57" t="s">
        <v>433</v>
      </c>
      <c r="C308" s="58" t="s">
        <v>161</v>
      </c>
      <c r="D308" s="58" t="s">
        <v>582</v>
      </c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60"/>
      <c r="AL308" s="3"/>
      <c r="AM308" s="4"/>
      <c r="AN308" s="4"/>
      <c r="AO308" s="4"/>
      <c r="AP308" s="4"/>
      <c r="AQ308" s="4"/>
      <c r="AR308" s="61"/>
    </row>
    <row r="309" s="58" customFormat="true" ht="13.8" hidden="false" customHeight="false" outlineLevel="0" collapsed="false">
      <c r="A309" s="75"/>
      <c r="B309" s="57" t="s">
        <v>433</v>
      </c>
      <c r="C309" s="58" t="s">
        <v>521</v>
      </c>
      <c r="D309" s="58" t="s">
        <v>583</v>
      </c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60"/>
      <c r="AL309" s="3"/>
      <c r="AM309" s="4"/>
      <c r="AN309" s="4"/>
      <c r="AO309" s="4"/>
      <c r="AP309" s="4"/>
      <c r="AQ309" s="4"/>
      <c r="AR309" s="61"/>
    </row>
    <row r="310" s="58" customFormat="true" ht="13.8" hidden="false" customHeight="false" outlineLevel="0" collapsed="false">
      <c r="A310" s="75"/>
      <c r="B310" s="57" t="s">
        <v>433</v>
      </c>
      <c r="C310" s="58" t="s">
        <v>169</v>
      </c>
      <c r="D310" s="58" t="s">
        <v>584</v>
      </c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60"/>
      <c r="AL310" s="3"/>
      <c r="AM310" s="4"/>
      <c r="AN310" s="4"/>
      <c r="AO310" s="4"/>
      <c r="AP310" s="4"/>
      <c r="AQ310" s="4"/>
      <c r="AR310" s="61"/>
    </row>
    <row r="311" s="58" customFormat="true" ht="13.8" hidden="false" customHeight="false" outlineLevel="0" collapsed="false">
      <c r="A311" s="75"/>
      <c r="B311" s="57" t="s">
        <v>433</v>
      </c>
      <c r="C311" s="58" t="s">
        <v>197</v>
      </c>
      <c r="D311" s="58" t="s">
        <v>585</v>
      </c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60"/>
      <c r="AL311" s="3"/>
      <c r="AM311" s="4"/>
      <c r="AN311" s="4"/>
      <c r="AO311" s="4"/>
      <c r="AP311" s="4"/>
      <c r="AQ311" s="4"/>
      <c r="AR311" s="61"/>
    </row>
    <row r="312" s="69" customFormat="true" ht="13.8" hidden="false" customHeight="false" outlineLevel="0" collapsed="false">
      <c r="A312" s="75"/>
      <c r="B312" s="76" t="s">
        <v>433</v>
      </c>
      <c r="C312" s="69" t="s">
        <v>213</v>
      </c>
      <c r="D312" s="69" t="s">
        <v>586</v>
      </c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8"/>
      <c r="AL312" s="3"/>
      <c r="AM312" s="4"/>
      <c r="AN312" s="4"/>
      <c r="AO312" s="4"/>
      <c r="AP312" s="4"/>
      <c r="AQ312" s="4"/>
      <c r="AR312" s="68"/>
    </row>
    <row r="313" s="30" customFormat="true" ht="13.8" hidden="false" customHeight="false" outlineLevel="0" collapsed="false">
      <c r="A313" s="31" t="s">
        <v>587</v>
      </c>
      <c r="B313" s="29" t="s">
        <v>588</v>
      </c>
      <c r="C313" s="30" t="s">
        <v>589</v>
      </c>
      <c r="D313" s="30" t="s">
        <v>590</v>
      </c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90"/>
      <c r="AL313" s="33"/>
      <c r="AM313" s="34"/>
      <c r="AN313" s="34"/>
      <c r="AO313" s="34"/>
      <c r="AP313" s="34"/>
      <c r="AQ313" s="34"/>
      <c r="AR313" s="35"/>
    </row>
    <row r="314" s="37" customFormat="true" ht="13.8" hidden="false" customHeight="false" outlineLevel="0" collapsed="false">
      <c r="A314" s="31"/>
      <c r="B314" s="36" t="s">
        <v>591</v>
      </c>
      <c r="C314" s="37" t="s">
        <v>592</v>
      </c>
      <c r="D314" s="37" t="s">
        <v>593</v>
      </c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9"/>
      <c r="AL314" s="33"/>
      <c r="AM314" s="34"/>
      <c r="AN314" s="34"/>
      <c r="AO314" s="34"/>
      <c r="AP314" s="34"/>
      <c r="AQ314" s="34"/>
      <c r="AR314" s="40"/>
    </row>
    <row r="315" s="37" customFormat="true" ht="13.8" hidden="false" customHeight="false" outlineLevel="0" collapsed="false">
      <c r="A315" s="31"/>
      <c r="B315" s="36" t="s">
        <v>594</v>
      </c>
      <c r="C315" s="37" t="s">
        <v>595</v>
      </c>
      <c r="D315" s="37" t="s">
        <v>596</v>
      </c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9"/>
      <c r="AL315" s="33"/>
      <c r="AM315" s="34"/>
      <c r="AN315" s="34"/>
      <c r="AO315" s="34"/>
      <c r="AP315" s="34"/>
      <c r="AQ315" s="34"/>
      <c r="AR315" s="40"/>
    </row>
    <row r="316" s="37" customFormat="true" ht="13.8" hidden="false" customHeight="false" outlineLevel="0" collapsed="false">
      <c r="A316" s="31"/>
      <c r="B316" s="36"/>
      <c r="C316" s="37" t="s">
        <v>42</v>
      </c>
      <c r="D316" s="37" t="s">
        <v>597</v>
      </c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9"/>
      <c r="AL316" s="33"/>
      <c r="AM316" s="34"/>
      <c r="AN316" s="34"/>
      <c r="AO316" s="34"/>
      <c r="AP316" s="34"/>
      <c r="AQ316" s="34"/>
      <c r="AR316" s="40"/>
    </row>
    <row r="317" s="37" customFormat="true" ht="13.8" hidden="false" customHeight="false" outlineLevel="0" collapsed="false">
      <c r="A317" s="31"/>
      <c r="B317" s="36"/>
      <c r="C317" s="37" t="s">
        <v>44</v>
      </c>
      <c r="D317" s="37" t="s">
        <v>598</v>
      </c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9"/>
      <c r="AL317" s="33"/>
      <c r="AM317" s="34"/>
      <c r="AN317" s="34"/>
      <c r="AO317" s="34"/>
      <c r="AP317" s="34"/>
      <c r="AQ317" s="34"/>
      <c r="AR317" s="40"/>
    </row>
    <row r="318" s="37" customFormat="true" ht="13.8" hidden="false" customHeight="false" outlineLevel="0" collapsed="false">
      <c r="A318" s="31"/>
      <c r="B318" s="36"/>
      <c r="C318" s="37" t="s">
        <v>46</v>
      </c>
      <c r="D318" s="37" t="s">
        <v>599</v>
      </c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9"/>
      <c r="AL318" s="33"/>
      <c r="AM318" s="34"/>
      <c r="AN318" s="34"/>
      <c r="AO318" s="34"/>
      <c r="AP318" s="34"/>
      <c r="AQ318" s="34"/>
      <c r="AR318" s="40"/>
    </row>
    <row r="319" s="37" customFormat="true" ht="13.8" hidden="false" customHeight="false" outlineLevel="0" collapsed="false">
      <c r="A319" s="31"/>
      <c r="B319" s="36"/>
      <c r="C319" s="37" t="s">
        <v>600</v>
      </c>
      <c r="D319" s="37" t="s">
        <v>601</v>
      </c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9"/>
      <c r="AL319" s="33"/>
      <c r="AM319" s="34"/>
      <c r="AN319" s="34"/>
      <c r="AO319" s="34"/>
      <c r="AP319" s="34"/>
      <c r="AQ319" s="34"/>
      <c r="AR319" s="40"/>
    </row>
    <row r="320" s="37" customFormat="true" ht="13.8" hidden="false" customHeight="false" outlineLevel="0" collapsed="false">
      <c r="A320" s="31"/>
      <c r="B320" s="36" t="s">
        <v>364</v>
      </c>
      <c r="C320" s="37" t="s">
        <v>602</v>
      </c>
      <c r="D320" s="37" t="s">
        <v>603</v>
      </c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9"/>
      <c r="AL320" s="33"/>
      <c r="AM320" s="34"/>
      <c r="AN320" s="34"/>
      <c r="AO320" s="34"/>
      <c r="AP320" s="34"/>
      <c r="AQ320" s="34"/>
      <c r="AR320" s="40"/>
    </row>
    <row r="321" s="37" customFormat="true" ht="13.8" hidden="false" customHeight="false" outlineLevel="0" collapsed="false">
      <c r="A321" s="31"/>
      <c r="B321" s="36" t="s">
        <v>604</v>
      </c>
      <c r="C321" s="37" t="s">
        <v>140</v>
      </c>
      <c r="D321" s="37" t="s">
        <v>605</v>
      </c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9"/>
      <c r="AL321" s="33"/>
      <c r="AM321" s="34"/>
      <c r="AN321" s="34"/>
      <c r="AO321" s="34"/>
      <c r="AP321" s="34"/>
      <c r="AQ321" s="34"/>
      <c r="AR321" s="40"/>
    </row>
    <row r="322" s="37" customFormat="true" ht="13.8" hidden="false" customHeight="false" outlineLevel="0" collapsed="false">
      <c r="A322" s="31"/>
      <c r="B322" s="36"/>
      <c r="C322" s="37" t="s">
        <v>42</v>
      </c>
      <c r="D322" s="37" t="s">
        <v>606</v>
      </c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9"/>
      <c r="AL322" s="33"/>
      <c r="AM322" s="34"/>
      <c r="AN322" s="34"/>
      <c r="AO322" s="34"/>
      <c r="AP322" s="34"/>
      <c r="AQ322" s="34"/>
      <c r="AR322" s="40"/>
    </row>
    <row r="323" s="37" customFormat="true" ht="13.8" hidden="false" customHeight="false" outlineLevel="0" collapsed="false">
      <c r="A323" s="31"/>
      <c r="B323" s="36"/>
      <c r="C323" s="37" t="s">
        <v>44</v>
      </c>
      <c r="D323" s="37" t="s">
        <v>607</v>
      </c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9"/>
      <c r="AL323" s="33"/>
      <c r="AM323" s="34"/>
      <c r="AN323" s="34"/>
      <c r="AO323" s="34"/>
      <c r="AP323" s="34"/>
      <c r="AQ323" s="34"/>
      <c r="AR323" s="40"/>
    </row>
    <row r="324" s="37" customFormat="true" ht="13.8" hidden="false" customHeight="false" outlineLevel="0" collapsed="false">
      <c r="A324" s="31"/>
      <c r="B324" s="36"/>
      <c r="C324" s="37" t="s">
        <v>46</v>
      </c>
      <c r="D324" s="37" t="s">
        <v>608</v>
      </c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9"/>
      <c r="AL324" s="33"/>
      <c r="AM324" s="34"/>
      <c r="AN324" s="34"/>
      <c r="AO324" s="34"/>
      <c r="AP324" s="34"/>
      <c r="AQ324" s="34"/>
      <c r="AR324" s="40"/>
    </row>
    <row r="325" s="37" customFormat="true" ht="13.8" hidden="false" customHeight="false" outlineLevel="0" collapsed="false">
      <c r="A325" s="31"/>
      <c r="B325" s="36"/>
      <c r="C325" s="37" t="s">
        <v>600</v>
      </c>
      <c r="D325" s="37" t="s">
        <v>609</v>
      </c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9"/>
      <c r="AL325" s="33"/>
      <c r="AM325" s="34"/>
      <c r="AN325" s="34"/>
      <c r="AO325" s="34"/>
      <c r="AP325" s="34"/>
      <c r="AQ325" s="34"/>
      <c r="AR325" s="40"/>
    </row>
    <row r="326" s="37" customFormat="true" ht="13.8" hidden="false" customHeight="false" outlineLevel="0" collapsed="false">
      <c r="A326" s="31"/>
      <c r="B326" s="36" t="s">
        <v>364</v>
      </c>
      <c r="C326" s="37" t="s">
        <v>602</v>
      </c>
      <c r="D326" s="37" t="s">
        <v>610</v>
      </c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9"/>
      <c r="AL326" s="33"/>
      <c r="AM326" s="34"/>
      <c r="AN326" s="34"/>
      <c r="AO326" s="34"/>
      <c r="AP326" s="34"/>
      <c r="AQ326" s="34"/>
      <c r="AR326" s="40"/>
    </row>
    <row r="327" s="37" customFormat="true" ht="13.8" hidden="false" customHeight="false" outlineLevel="0" collapsed="false">
      <c r="A327" s="31"/>
      <c r="B327" s="36" t="s">
        <v>604</v>
      </c>
      <c r="C327" s="37" t="s">
        <v>140</v>
      </c>
      <c r="D327" s="37" t="s">
        <v>611</v>
      </c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9"/>
      <c r="AL327" s="33"/>
      <c r="AM327" s="34"/>
      <c r="AN327" s="34"/>
      <c r="AO327" s="34"/>
      <c r="AP327" s="34"/>
      <c r="AQ327" s="34"/>
      <c r="AR327" s="40"/>
    </row>
    <row r="328" s="37" customFormat="true" ht="13.8" hidden="false" customHeight="false" outlineLevel="0" collapsed="false">
      <c r="A328" s="31"/>
      <c r="B328" s="36"/>
      <c r="C328" s="37" t="s">
        <v>42</v>
      </c>
      <c r="D328" s="37" t="s">
        <v>612</v>
      </c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9"/>
      <c r="AL328" s="33"/>
      <c r="AM328" s="34"/>
      <c r="AN328" s="34"/>
      <c r="AO328" s="34"/>
      <c r="AP328" s="34"/>
      <c r="AQ328" s="34"/>
      <c r="AR328" s="40"/>
    </row>
    <row r="329" s="37" customFormat="true" ht="13.8" hidden="false" customHeight="false" outlineLevel="0" collapsed="false">
      <c r="A329" s="31"/>
      <c r="B329" s="36"/>
      <c r="C329" s="37" t="s">
        <v>44</v>
      </c>
      <c r="D329" s="37" t="s">
        <v>613</v>
      </c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9"/>
      <c r="AL329" s="33"/>
      <c r="AM329" s="34"/>
      <c r="AN329" s="34"/>
      <c r="AO329" s="34"/>
      <c r="AP329" s="34"/>
      <c r="AQ329" s="34"/>
      <c r="AR329" s="40"/>
    </row>
    <row r="330" s="37" customFormat="true" ht="13.8" hidden="false" customHeight="false" outlineLevel="0" collapsed="false">
      <c r="A330" s="31"/>
      <c r="B330" s="36"/>
      <c r="C330" s="37" t="s">
        <v>46</v>
      </c>
      <c r="D330" s="37" t="s">
        <v>614</v>
      </c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9"/>
      <c r="AL330" s="33"/>
      <c r="AM330" s="34"/>
      <c r="AN330" s="34"/>
      <c r="AO330" s="34"/>
      <c r="AP330" s="34"/>
      <c r="AQ330" s="34"/>
      <c r="AR330" s="40"/>
    </row>
    <row r="331" s="37" customFormat="true" ht="13.8" hidden="false" customHeight="false" outlineLevel="0" collapsed="false">
      <c r="A331" s="31"/>
      <c r="B331" s="36"/>
      <c r="C331" s="37" t="s">
        <v>600</v>
      </c>
      <c r="D331" s="37" t="s">
        <v>615</v>
      </c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9"/>
      <c r="AL331" s="33"/>
      <c r="AM331" s="34"/>
      <c r="AN331" s="34"/>
      <c r="AO331" s="34"/>
      <c r="AP331" s="34"/>
      <c r="AQ331" s="34"/>
      <c r="AR331" s="40"/>
    </row>
    <row r="332" s="37" customFormat="true" ht="13.8" hidden="false" customHeight="false" outlineLevel="0" collapsed="false">
      <c r="A332" s="31"/>
      <c r="B332" s="36" t="s">
        <v>364</v>
      </c>
      <c r="C332" s="37" t="s">
        <v>602</v>
      </c>
      <c r="D332" s="37" t="s">
        <v>616</v>
      </c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9"/>
      <c r="AL332" s="33"/>
      <c r="AM332" s="34"/>
      <c r="AN332" s="34"/>
      <c r="AO332" s="34"/>
      <c r="AP332" s="34"/>
      <c r="AQ332" s="34"/>
      <c r="AR332" s="40"/>
    </row>
    <row r="333" s="48" customFormat="true" ht="13.8" hidden="false" customHeight="false" outlineLevel="0" collapsed="false">
      <c r="A333" s="31"/>
      <c r="B333" s="91" t="s">
        <v>604</v>
      </c>
      <c r="C333" s="48" t="s">
        <v>140</v>
      </c>
      <c r="D333" s="48" t="s">
        <v>617</v>
      </c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3"/>
      <c r="AL333" s="33"/>
      <c r="AM333" s="34"/>
      <c r="AN333" s="34"/>
      <c r="AO333" s="34"/>
      <c r="AP333" s="34"/>
      <c r="AQ333" s="34"/>
      <c r="AR333" s="50"/>
    </row>
    <row r="334" s="114" customFormat="true" ht="13.8" hidden="false" customHeight="false" outlineLevel="0" collapsed="false">
      <c r="A334" s="112" t="s">
        <v>618</v>
      </c>
      <c r="B334" s="113" t="s">
        <v>619</v>
      </c>
      <c r="C334" s="114" t="s">
        <v>620</v>
      </c>
      <c r="D334" s="114" t="s">
        <v>621</v>
      </c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5"/>
      <c r="AL334" s="3"/>
      <c r="AM334" s="4"/>
      <c r="AN334" s="4"/>
      <c r="AO334" s="4"/>
      <c r="AP334" s="4"/>
      <c r="AQ334" s="4"/>
      <c r="AR334" s="116"/>
    </row>
    <row r="335" s="119" customFormat="true" ht="13.8" hidden="false" customHeight="false" outlineLevel="0" collapsed="false">
      <c r="A335" s="117"/>
      <c r="B335" s="118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  <c r="AC335" s="120"/>
      <c r="AD335" s="120"/>
      <c r="AE335" s="120"/>
      <c r="AF335" s="120"/>
      <c r="AG335" s="120"/>
      <c r="AH335" s="120"/>
      <c r="AI335" s="120"/>
      <c r="AJ335" s="120"/>
      <c r="AK335" s="120"/>
      <c r="AL335" s="3"/>
      <c r="AM335" s="4"/>
      <c r="AN335" s="4"/>
      <c r="AO335" s="4"/>
      <c r="AP335" s="4"/>
      <c r="AQ335" s="4"/>
    </row>
    <row r="336" s="4" customFormat="true" ht="13.8" hidden="false" customHeight="false" outlineLevel="0" collapsed="false">
      <c r="A336" s="121"/>
      <c r="B336" s="14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  <c r="AD336" s="121"/>
      <c r="AE336" s="121"/>
      <c r="AF336" s="121"/>
      <c r="AG336" s="121"/>
      <c r="AH336" s="121"/>
      <c r="AI336" s="121"/>
      <c r="AJ336" s="121"/>
      <c r="AK336" s="121"/>
      <c r="AL336" s="3"/>
    </row>
    <row r="337" s="4" customFormat="true" ht="13.8" hidden="false" customHeight="false" outlineLevel="0" collapsed="false">
      <c r="A337" s="121"/>
      <c r="B337" s="14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  <c r="AC337" s="121"/>
      <c r="AD337" s="121"/>
      <c r="AE337" s="121"/>
      <c r="AF337" s="121"/>
      <c r="AG337" s="121"/>
      <c r="AH337" s="121"/>
      <c r="AI337" s="121"/>
      <c r="AJ337" s="121"/>
      <c r="AK337" s="121"/>
      <c r="AL337" s="3"/>
    </row>
    <row r="338" s="4" customFormat="true" ht="13.8" hidden="false" customHeight="false" outlineLevel="0" collapsed="false">
      <c r="A338" s="121"/>
      <c r="B338" s="14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  <c r="AC338" s="121"/>
      <c r="AD338" s="121"/>
      <c r="AE338" s="121"/>
      <c r="AF338" s="121"/>
      <c r="AG338" s="121"/>
      <c r="AH338" s="121"/>
      <c r="AI338" s="121"/>
      <c r="AJ338" s="121"/>
      <c r="AK338" s="121"/>
      <c r="AL338" s="3"/>
    </row>
    <row r="339" s="4" customFormat="true" ht="13.8" hidden="false" customHeight="false" outlineLevel="0" collapsed="false">
      <c r="A339" s="121"/>
      <c r="B339" s="14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  <c r="AD339" s="121"/>
      <c r="AE339" s="121"/>
      <c r="AF339" s="121"/>
      <c r="AG339" s="121"/>
      <c r="AH339" s="121"/>
      <c r="AI339" s="121"/>
      <c r="AJ339" s="121"/>
      <c r="AK339" s="121"/>
      <c r="AL339" s="3"/>
    </row>
    <row r="340" s="4" customFormat="true" ht="13.8" hidden="false" customHeight="false" outlineLevel="0" collapsed="false">
      <c r="A340" s="121"/>
      <c r="B340" s="14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  <c r="AC340" s="121"/>
      <c r="AD340" s="121"/>
      <c r="AE340" s="121"/>
      <c r="AF340" s="121"/>
      <c r="AG340" s="121"/>
      <c r="AH340" s="121"/>
      <c r="AI340" s="121"/>
      <c r="AJ340" s="121"/>
      <c r="AK340" s="121"/>
      <c r="AL340" s="3"/>
    </row>
    <row r="341" s="4" customFormat="true" ht="13.8" hidden="false" customHeight="false" outlineLevel="0" collapsed="false">
      <c r="A341" s="121"/>
      <c r="B341" s="14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  <c r="AC341" s="121"/>
      <c r="AD341" s="121"/>
      <c r="AE341" s="121"/>
      <c r="AF341" s="121"/>
      <c r="AG341" s="121"/>
      <c r="AH341" s="121"/>
      <c r="AI341" s="121"/>
      <c r="AJ341" s="121"/>
      <c r="AK341" s="121"/>
      <c r="AL341" s="3"/>
    </row>
    <row r="342" s="4" customFormat="true" ht="13.8" hidden="false" customHeight="false" outlineLevel="0" collapsed="false">
      <c r="A342" s="121"/>
      <c r="B342" s="14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  <c r="AC342" s="121"/>
      <c r="AD342" s="121"/>
      <c r="AE342" s="121"/>
      <c r="AF342" s="121"/>
      <c r="AG342" s="121"/>
      <c r="AH342" s="121"/>
      <c r="AI342" s="121"/>
      <c r="AJ342" s="121"/>
      <c r="AK342" s="121"/>
      <c r="AL342" s="3"/>
    </row>
    <row r="343" s="4" customFormat="true" ht="13.8" hidden="false" customHeight="false" outlineLevel="0" collapsed="false">
      <c r="A343" s="121"/>
      <c r="B343" s="14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  <c r="AC343" s="121"/>
      <c r="AD343" s="121"/>
      <c r="AE343" s="121"/>
      <c r="AF343" s="121"/>
      <c r="AG343" s="121"/>
      <c r="AH343" s="121"/>
      <c r="AI343" s="121"/>
      <c r="AJ343" s="121"/>
      <c r="AK343" s="121"/>
      <c r="AL343" s="3"/>
    </row>
    <row r="344" s="4" customFormat="true" ht="13.8" hidden="false" customHeight="false" outlineLevel="0" collapsed="false">
      <c r="A344" s="121"/>
      <c r="B344" s="14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  <c r="AC344" s="121"/>
      <c r="AD344" s="121"/>
      <c r="AE344" s="121"/>
      <c r="AF344" s="121"/>
      <c r="AG344" s="121"/>
      <c r="AH344" s="121"/>
      <c r="AI344" s="121"/>
      <c r="AJ344" s="121"/>
      <c r="AK344" s="121"/>
      <c r="AL344" s="3"/>
    </row>
    <row r="345" s="4" customFormat="true" ht="13.8" hidden="false" customHeight="false" outlineLevel="0" collapsed="false">
      <c r="A345" s="121"/>
      <c r="B345" s="14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  <c r="AC345" s="121"/>
      <c r="AD345" s="121"/>
      <c r="AE345" s="121"/>
      <c r="AF345" s="121"/>
      <c r="AG345" s="121"/>
      <c r="AH345" s="121"/>
      <c r="AI345" s="121"/>
      <c r="AJ345" s="121"/>
      <c r="AK345" s="121"/>
      <c r="AL345" s="3"/>
    </row>
    <row r="346" s="4" customFormat="true" ht="13.8" hidden="false" customHeight="false" outlineLevel="0" collapsed="false">
      <c r="A346" s="121"/>
      <c r="B346" s="14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  <c r="AC346" s="121"/>
      <c r="AD346" s="121"/>
      <c r="AE346" s="121"/>
      <c r="AF346" s="121"/>
      <c r="AG346" s="121"/>
      <c r="AH346" s="121"/>
      <c r="AI346" s="121"/>
      <c r="AJ346" s="121"/>
      <c r="AK346" s="121"/>
      <c r="AL346" s="3"/>
    </row>
    <row r="347" s="4" customFormat="true" ht="13.8" hidden="false" customHeight="false" outlineLevel="0" collapsed="false">
      <c r="A347" s="121"/>
      <c r="B347" s="14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  <c r="AC347" s="121"/>
      <c r="AD347" s="121"/>
      <c r="AE347" s="121"/>
      <c r="AF347" s="121"/>
      <c r="AG347" s="121"/>
      <c r="AH347" s="121"/>
      <c r="AI347" s="121"/>
      <c r="AJ347" s="121"/>
      <c r="AK347" s="121"/>
      <c r="AL347" s="3"/>
    </row>
    <row r="348" s="4" customFormat="true" ht="13.8" hidden="false" customHeight="false" outlineLevel="0" collapsed="false">
      <c r="A348" s="121"/>
      <c r="B348" s="14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3"/>
    </row>
    <row r="349" s="4" customFormat="true" ht="13.8" hidden="false" customHeight="false" outlineLevel="0" collapsed="false">
      <c r="A349" s="121"/>
      <c r="B349" s="14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3"/>
    </row>
    <row r="350" s="4" customFormat="true" ht="13.8" hidden="false" customHeight="false" outlineLevel="0" collapsed="false">
      <c r="A350" s="121"/>
      <c r="B350" s="14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  <c r="AC350" s="121"/>
      <c r="AD350" s="121"/>
      <c r="AE350" s="121"/>
      <c r="AF350" s="121"/>
      <c r="AG350" s="121"/>
      <c r="AH350" s="121"/>
      <c r="AI350" s="121"/>
      <c r="AJ350" s="121"/>
      <c r="AK350" s="121"/>
      <c r="AL350" s="3"/>
    </row>
    <row r="351" s="4" customFormat="true" ht="13.8" hidden="false" customHeight="false" outlineLevel="0" collapsed="false">
      <c r="A351" s="121"/>
      <c r="B351" s="14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1"/>
      <c r="AL351" s="3"/>
    </row>
    <row r="352" s="4" customFormat="true" ht="13.8" hidden="false" customHeight="false" outlineLevel="0" collapsed="false">
      <c r="A352" s="121"/>
      <c r="B352" s="14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3"/>
    </row>
    <row r="353" s="4" customFormat="true" ht="13.8" hidden="false" customHeight="false" outlineLevel="0" collapsed="false">
      <c r="A353" s="121"/>
      <c r="B353" s="14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3"/>
    </row>
    <row r="354" s="4" customFormat="true" ht="13.8" hidden="false" customHeight="false" outlineLevel="0" collapsed="false">
      <c r="A354" s="121"/>
      <c r="B354" s="14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3"/>
    </row>
    <row r="355" s="4" customFormat="true" ht="13.8" hidden="false" customHeight="false" outlineLevel="0" collapsed="false">
      <c r="A355" s="121"/>
      <c r="B355" s="14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3"/>
    </row>
    <row r="356" s="4" customFormat="true" ht="13.8" hidden="false" customHeight="false" outlineLevel="0" collapsed="false">
      <c r="A356" s="121"/>
      <c r="B356" s="14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3"/>
    </row>
    <row r="357" s="4" customFormat="true" ht="13.8" hidden="false" customHeight="false" outlineLevel="0" collapsed="false">
      <c r="A357" s="121"/>
      <c r="B357" s="14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3"/>
    </row>
    <row r="358" s="4" customFormat="true" ht="13.8" hidden="false" customHeight="false" outlineLevel="0" collapsed="false">
      <c r="A358" s="121"/>
      <c r="B358" s="14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3"/>
    </row>
    <row r="359" s="4" customFormat="true" ht="13.8" hidden="false" customHeight="false" outlineLevel="0" collapsed="false">
      <c r="A359" s="121"/>
      <c r="B359" s="14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3"/>
    </row>
    <row r="360" s="4" customFormat="true" ht="13.8" hidden="false" customHeight="false" outlineLevel="0" collapsed="false">
      <c r="A360" s="121"/>
      <c r="B360" s="14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3"/>
    </row>
    <row r="361" s="4" customFormat="true" ht="13.8" hidden="false" customHeight="false" outlineLevel="0" collapsed="false">
      <c r="A361" s="121"/>
      <c r="B361" s="14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3"/>
    </row>
  </sheetData>
  <mergeCells count="33">
    <mergeCell ref="A2:A3"/>
    <mergeCell ref="A5:A7"/>
    <mergeCell ref="A8:A30"/>
    <mergeCell ref="A31:A52"/>
    <mergeCell ref="B37:B52"/>
    <mergeCell ref="A53:A74"/>
    <mergeCell ref="A75:A76"/>
    <mergeCell ref="A78:A81"/>
    <mergeCell ref="A82:A113"/>
    <mergeCell ref="A114:A115"/>
    <mergeCell ref="A116:A122"/>
    <mergeCell ref="A124:A130"/>
    <mergeCell ref="A131:A152"/>
    <mergeCell ref="A153:A174"/>
    <mergeCell ref="A175:A191"/>
    <mergeCell ref="A193:A196"/>
    <mergeCell ref="A197:A198"/>
    <mergeCell ref="A201:A203"/>
    <mergeCell ref="A207:A209"/>
    <mergeCell ref="A210:A214"/>
    <mergeCell ref="A217:A219"/>
    <mergeCell ref="A220:A221"/>
    <mergeCell ref="A223:A225"/>
    <mergeCell ref="A226:A228"/>
    <mergeCell ref="A229:A230"/>
    <mergeCell ref="A234:A235"/>
    <mergeCell ref="A242:A243"/>
    <mergeCell ref="A245:A256"/>
    <mergeCell ref="A257:A278"/>
    <mergeCell ref="A281:A289"/>
    <mergeCell ref="A290:A291"/>
    <mergeCell ref="A292:A312"/>
    <mergeCell ref="A313:A333"/>
  </mergeCells>
  <dataValidations count="4">
    <dataValidation allowBlank="true" errorStyle="stop" operator="between" showDropDown="false" showErrorMessage="true" showInputMessage="true" sqref="E30:AK30" type="list">
      <formula1>'Data Validation'!$A$2</formula1>
      <formula2>0</formula2>
    </dataValidation>
    <dataValidation allowBlank="true" error="Selected sample suite will not render on PDF Export. &#10;&#10;Additional Test added to a suite will display on page 3." errorStyle="warning" errorTitle="Undefined Sample Suite" operator="between" showDropDown="false" showErrorMessage="true" showInputMessage="true" sqref="E5:AK5" type="list">
      <formula1>'Data Validation'!$C$2:$C$13</formula1>
      <formula2>0</formula2>
    </dataValidation>
    <dataValidation allowBlank="true" error="Selected sample suite will not render on PDF Export. &#10;&#10;Additional Test added to a suite will display on page 3." errorStyle="warning" errorTitle="Undefined Sample Suite" operator="between" showDropDown="false" showErrorMessage="false" showInputMessage="true" sqref="E6:AK6" type="list">
      <formula1>'Data Validation'!$D$2:$D$6</formula1>
      <formula2>0</formula2>
    </dataValidation>
    <dataValidation allowBlank="true" errorStyle="stop" operator="between" showDropDown="false" showErrorMessage="true" showInputMessage="true" sqref="E37:AK52" type="list">
      <formula1>'Data Validation'!$B$2:$B$4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5.14"/>
    <col collapsed="false" customWidth="true" hidden="false" outlineLevel="0" max="2" min="2" style="0" width="18"/>
    <col collapsed="false" customWidth="true" hidden="false" outlineLevel="0" max="3" min="3" style="0" width="19"/>
    <col collapsed="false" customWidth="true" hidden="false" outlineLevel="0" max="4" min="4" style="0" width="20.57"/>
  </cols>
  <sheetData>
    <row r="1" customFormat="false" ht="15" hidden="false" customHeight="false" outlineLevel="0" collapsed="false">
      <c r="A1" s="122" t="s">
        <v>622</v>
      </c>
      <c r="B1" s="122" t="s">
        <v>623</v>
      </c>
      <c r="C1" s="122" t="s">
        <v>10</v>
      </c>
      <c r="D1" s="122" t="s">
        <v>12</v>
      </c>
    </row>
    <row r="2" customFormat="false" ht="15" hidden="false" customHeight="false" outlineLevel="0" collapsed="false">
      <c r="A2" s="123" t="s">
        <v>624</v>
      </c>
      <c r="B2" s="123" t="s">
        <v>625</v>
      </c>
      <c r="C2" s="123" t="s">
        <v>626</v>
      </c>
      <c r="D2" s="123" t="s">
        <v>627</v>
      </c>
    </row>
    <row r="3" customFormat="false" ht="15" hidden="false" customHeight="false" outlineLevel="0" collapsed="false">
      <c r="A3" s="123"/>
      <c r="B3" s="123" t="s">
        <v>628</v>
      </c>
      <c r="C3" s="123" t="s">
        <v>629</v>
      </c>
      <c r="D3" s="0" t="s">
        <v>630</v>
      </c>
    </row>
    <row r="4" customFormat="false" ht="15" hidden="false" customHeight="false" outlineLevel="0" collapsed="false">
      <c r="A4" s="123"/>
      <c r="B4" s="123" t="s">
        <v>631</v>
      </c>
      <c r="C4" s="123" t="s">
        <v>632</v>
      </c>
      <c r="D4" s="0" t="s">
        <v>633</v>
      </c>
    </row>
    <row r="5" customFormat="false" ht="15" hidden="false" customHeight="false" outlineLevel="0" collapsed="false">
      <c r="C5" s="123" t="s">
        <v>634</v>
      </c>
      <c r="D5" s="0" t="s">
        <v>635</v>
      </c>
    </row>
    <row r="6" customFormat="false" ht="15" hidden="false" customHeight="false" outlineLevel="0" collapsed="false">
      <c r="C6" s="123" t="s">
        <v>636</v>
      </c>
      <c r="D6" s="0" t="s">
        <v>637</v>
      </c>
    </row>
    <row r="7" customFormat="false" ht="15" hidden="false" customHeight="false" outlineLevel="0" collapsed="false">
      <c r="C7" s="123" t="s">
        <v>638</v>
      </c>
      <c r="D7" s="0" t="s">
        <v>639</v>
      </c>
    </row>
    <row r="8" customFormat="false" ht="15" hidden="false" customHeight="false" outlineLevel="0" collapsed="false">
      <c r="C8" s="123" t="s">
        <v>640</v>
      </c>
      <c r="D8" s="0" t="s">
        <v>641</v>
      </c>
    </row>
    <row r="9" customFormat="false" ht="15" hidden="false" customHeight="false" outlineLevel="0" collapsed="false">
      <c r="C9" s="123" t="s">
        <v>642</v>
      </c>
    </row>
    <row r="10" customFormat="false" ht="15" hidden="false" customHeight="false" outlineLevel="0" collapsed="false">
      <c r="C10" s="123" t="s">
        <v>643</v>
      </c>
    </row>
    <row r="11" customFormat="false" ht="15" hidden="false" customHeight="false" outlineLevel="0" collapsed="false">
      <c r="C11" s="123" t="s">
        <v>644</v>
      </c>
    </row>
    <row r="12" customFormat="false" ht="15" hidden="false" customHeight="false" outlineLevel="0" collapsed="false">
      <c r="C12" s="123" t="s">
        <v>645</v>
      </c>
    </row>
    <row r="13" customFormat="false" ht="15" hidden="false" customHeight="false" outlineLevel="0" collapsed="false">
      <c r="C13" s="123" t="s">
        <v>646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DataMashup xmlns="http://schemas.microsoft.com/DataMashup">AAAAAA0DAABQSwMEFAACAAgA6XIXWe6H/BymAAAA9wAAABIAHABDb25maWcvUGFja2FnZS54bWwgohgAKKAUAAAAAAAAAAAAAAAAAAAAAAAAAAAAhY+9DoIwHMR3E9+BdKdfxIX8KYNuSmJiYlwbaKARiqHF8m4OPpKvIERRN8e7+yV397jdIR2aOriqzurWJIhhigLrpClk3RqVINOiVCwXsJf5WZYqGGlj48EWCaqcu8SEeO+xj3DblYRTysgp2x3ySjUSfWD9Hw61mWpzhQQcX2sExyxieEU5pkBmEzJtvgAfB0/pjwnrvnZ9p4Qy4WYLZJZA3h/EE1BLAwQUAAIACADpchdZU3I4LJsAAADhAAAAEwAcAFtDb250ZW50X1R5cGVzXS54bWwgohgAKKAUAAAAAAAAAAAAAAAAAAAAAAAAAAAAbY49DsIwDEavEnlvXRgQQk0ZgBtwgSi4P6JxosZF5WwMHIkrkLZrR39+z59/n295nlyvXjTEzrOGXV6AIrb+0XGjYZQ6O8K5Ku/vQFEllKOGViScEKNtyZmY+0CcNrUfnJE0Dg0GY5+mIdwXxQGtZyGWTOYbUJVXqs3Yi7pNKV5rkw7qsnJzlQahSXCJcdNwW3zoTceLgcvD1R9QSwMEFAACAAgA6XIXWSiKR7gOAAAAEQAAABMAHABGb3JtdWxhcy9TZWN0aW9uMS5tIKIYACigFAAAAAAAAAAAAAAAAAAAAAAAAAAAACtOTS7JzM9TCIbQhtYAUEsBAi0AFAACAAgA6XIXWe6H/BymAAAA9wAAABIAAAAAAAAAAAAAAAAAAAAAAENvbmZpZy9QYWNrYWdlLnhtbFBLAQItABQAAgAIAOlyF1lTcjgsmwAAAOEAAAATAAAAAAAAAAAAAAAAAPIAAABbQ29udGVudF9UeXBlc10ueG1sUEsBAi0AFAACAAgA6XIXWSiKR7gOAAAAEQAAABMAAAAAAAAAAAAAAAAA2gEAAEZvcm11bGFzL1NlY3Rpb24xLm1QSwUGAAAAAAMAAwDCAAAANQI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xQEAAAAAAACjA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F1ZXJ5R3JvdXBzIiBWYWx1ZT0ic0FBQUFBQT09IiAvPjxFbnRyeSBUeXBlPSJSZWxhdGlvbnNoaXBzIiBWYWx1ZT0ic0FBQUFBQT09IiAvPjwvU3RhYmxlRW50cmllcz48L0l0ZW0+PC9JdGVtcz48L0xvY2FsUGFja2FnZU1ldGFkYXRhRmlsZT4WAAAAUEsFBgAAAAAAAAAAAAAAAAAAAAAAANoAAAABAAAA0Iyd3wEV0RGMegDAT8KX6wEAAABigezyr1GSSqiWHa/Sj9e9AAAAAAIAAAAAAANmAADAAAAAEAAAAP6O27NiSbIX244ZKj1B520AAAAABIAAAKAAAAAQAAAAHZ/xuNoQyTt1ljWKuQ8KfVAAAADp5xxFBbZFOOOaV10b65Dq41ld4Drdl1ok8jD36/uvunz4l0r9WRYRpNJGWPd1dmMrpIWK0oW9DG27pTwZ24It5J5L3E36piOQcJ2cEl2tqhQAAACI83H/aFfWILN4MifUmozPi33msA==</DataMashup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EFC3B33EEF4BB0D2BE17F3C78EB7" ma:contentTypeVersion="17" ma:contentTypeDescription="Ein neues Dokument erstellen." ma:contentTypeScope="" ma:versionID="1737d281b5bdcea38e8eb7d9d80aa2aa">
  <xsd:schema xmlns:xsd="http://www.w3.org/2001/XMLSchema" xmlns:xs="http://www.w3.org/2001/XMLSchema" xmlns:p="http://schemas.microsoft.com/office/2006/metadata/properties" xmlns:ns2="4ada0ada-4ca7-45e7-895e-ad0eb2e0da3d" xmlns:ns3="5f64f1d4-c3dd-4d78-952f-69ba0d100abc" targetNamespace="http://schemas.microsoft.com/office/2006/metadata/properties" ma:root="true" ma:fieldsID="d4872de6596128b80e2d153f34473c94" ns2:_="" ns3:_="">
    <xsd:import namespace="4ada0ada-4ca7-45e7-895e-ad0eb2e0da3d"/>
    <xsd:import namespace="5f64f1d4-c3dd-4d78-952f-69ba0d100a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a0ada-4ca7-45e7-895e-ad0eb2e0da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a1587baa-76eb-49b3-9e5e-3cb529e0b6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4f1d4-c3dd-4d78-952f-69ba0d100a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39c1fb-f48f-4f12-a568-08fe319e006f}" ma:internalName="TaxCatchAll" ma:showField="CatchAllData" ma:web="5f64f1d4-c3dd-4d78-952f-69ba0d100a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64f1d4-c3dd-4d78-952f-69ba0d100abc" xsi:nil="true"/>
    <lcf76f155ced4ddcb4097134ff3c332f xmlns="4ada0ada-4ca7-45e7-895e-ad0eb2e0da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E94FDC-47FA-4E44-B61A-274AE63477B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22B48CA-1B06-43C0-8A41-9C7B9878A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da0ada-4ca7-45e7-895e-ad0eb2e0da3d"/>
    <ds:schemaRef ds:uri="5f64f1d4-c3dd-4d78-952f-69ba0d100a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AA92E8-C090-415D-AD09-516F146844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2C59EC3-EEF6-4439-BEA7-6E2BFE15CD86}">
  <ds:schemaRefs>
    <ds:schemaRef ds:uri="http://schemas.microsoft.com/office/2006/metadata/properties"/>
    <ds:schemaRef ds:uri="http://schemas.microsoft.com/office/infopath/2007/PartnerControls"/>
    <ds:schemaRef ds:uri="5f64f1d4-c3dd-4d78-952f-69ba0d100abc"/>
    <ds:schemaRef ds:uri="4ada0ada-4ca7-45e7-895e-ad0eb2e0da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2024-08-21T06:30:19Z</dcterms:created>
  <dc:creator>Ladeby, Casper</dc:creator>
  <dc:description/>
  <dc:language>en-US</dc:language>
  <cp:lastModifiedBy/>
  <dcterms:modified xsi:type="dcterms:W3CDTF">2025-08-26T14:23:55Z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0x010100E43CEFC3B33EEF4BB0D2BE17F3C78EB7</vt:lpwstr>
  </property>
  <property fmtid="{D5CDD505-2E9C-101B-9397-08002B2CF9AE}" pid="3" name="MediaServiceImageTags">
    <vt:lpwstr/>
  </property>
</Properties>
</file>